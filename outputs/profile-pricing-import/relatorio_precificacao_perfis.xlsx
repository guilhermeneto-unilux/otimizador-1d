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41b452578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f8e36f39e2f498d"/>
    <x:sheet xmlns:r="http://schemas.openxmlformats.org/officeDocument/2006/relationships" name="Todos os SKUs" sheetId="2" r:id="Rf42310b8d9fd4d0f"/>
    <x:sheet xmlns:r="http://schemas.openxmlformats.org/officeDocument/2006/relationships" name="Pendências" sheetId="3" r:id="R49cf5f0b57c0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0.000000"/>
    <x:numFmt numFmtId="202" formatCode="&quot;R$&quot; #,##0.000000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B5563"/>
      <x:name val="Carlito"/>
    </x:font>
    <x:font>
      <x:sz val="11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F9FAFB"/>
      </x:patternFill>
    </x:fill>
    <x:fill>
      <x:patternFill patternType="solid">
        <x:fgColor rgb="FFFFF7F7"/>
      </x:patternFill>
    </x:fill>
  </x:fills>
  <x:borders count="22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right style="thin">
        <x:color rgb="FFF3D5D5"/>
      </x:right>
      <x:bottom style="thin">
        <x:color rgb="FFF3D5D5"/>
      </x:bottom>
    </x:border>
    <x:border>
      <x:left style="thin">
        <x:color rgb="FFF3D5D5"/>
      </x:left>
      <x:right style="thin">
        <x:color rgb="FFF3D5D5"/>
      </x:right>
      <x:bottom style="thin">
        <x:color rgb="FFF3D5D5"/>
      </x:bottom>
    </x:border>
    <x:border>
      <x:left style="thin">
        <x:color rgb="FFF3D5D5"/>
      </x:left>
      <x:bottom style="thin">
        <x:color rgb="FFF3D5D5"/>
      </x:bottom>
    </x:border>
    <x:border>
      <x:right style="thin">
        <x:color rgb="FFF3D5D5"/>
      </x:right>
      <x:top style="thin">
        <x:color rgb="FFF3D5D5"/>
      </x:top>
      <x:bottom style="thin">
        <x:color rgb="FFF3D5D5"/>
      </x:bottom>
    </x:border>
    <x:border>
      <x:left style="thin">
        <x:color rgb="FFF3D5D5"/>
      </x:left>
      <x:right style="thin">
        <x:color rgb="FFF3D5D5"/>
      </x:right>
      <x:top style="thin">
        <x:color rgb="FFF3D5D5"/>
      </x:top>
      <x:bottom style="thin">
        <x:color rgb="FFF3D5D5"/>
      </x:bottom>
    </x:border>
    <x:border>
      <x:left style="thin">
        <x:color rgb="FFF3D5D5"/>
      </x:left>
      <x:top style="thin">
        <x:color rgb="FFF3D5D5"/>
      </x:top>
      <x:bottom style="thin">
        <x:color rgb="FFF3D5D5"/>
      </x:bottom>
    </x:border>
    <x:border>
      <x:right style="thin">
        <x:color rgb="FFF3D5D5"/>
      </x:right>
      <x:top style="thin">
        <x:color rgb="FFF3D5D5"/>
      </x:top>
    </x:border>
    <x:border>
      <x:left style="thin">
        <x:color rgb="FFF3D5D5"/>
      </x:left>
      <x:right style="thin">
        <x:color rgb="FFF3D5D5"/>
      </x:right>
      <x:top style="thin">
        <x:color rgb="FFF3D5D5"/>
      </x:top>
    </x:border>
    <x:border>
      <x:left style="thin">
        <x:color rgb="FFF3D5D5"/>
      </x:left>
      <x:top style="thin">
        <x:color rgb="FFF3D5D5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/>
    <x:xf numFmtId="0" fontId="1" fillId="4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e5b64d7e649b8" /><Relationship Type="http://schemas.openxmlformats.org/officeDocument/2006/relationships/theme" Target="/xl/theme/theme1.xml" Id="R6ae93541794c4a7e" /><Relationship Type="http://schemas.openxmlformats.org/officeDocument/2006/relationships/sharedStrings" Target="/xl/sharedStrings.xml" Id="R4ff0761a16cf4652" /><Relationship Type="http://schemas.openxmlformats.org/officeDocument/2006/relationships/worksheet" Target="/xl/worksheets/sheet1.xml" Id="R1f8e36f39e2f498d" /><Relationship Type="http://schemas.openxmlformats.org/officeDocument/2006/relationships/worksheet" Target="/xl/worksheets/sheet2.xml" Id="Rf42310b8d9fd4d0f" /><Relationship Type="http://schemas.openxmlformats.org/officeDocument/2006/relationships/worksheet" Target="/xl/worksheets/sheet3.xml" Id="R49cf5f0b57c04547" /></Relationships>
</file>

<file path=xl/tables/table1.xml><?xml version="1.0" encoding="utf-8"?>
<x:table xmlns:x="http://schemas.openxmlformats.org/spreadsheetml/2006/main" id="1" name="TodosSkusTable" displayName="TodosSkusTable" ref="A1:I662" headerRowCount="1">
  <x:tableColumns count="9">
    <x:tableColumn id="1" name="Linha Excel"/>
    <x:tableColumn id="2" name="SKU"/>
    <x:tableColumn id="3" name="Descrição"/>
    <x:tableColumn id="4" name="Categoria"/>
    <x:tableColumn id="5" name="R$/kg"/>
    <x:tableColumn id="6" name="m/kg"/>
    <x:tableColumn id="7" name="Método"/>
    <x:tableColumn id="8" name="R$/m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endenciasTable" displayName="PendenciasTable" ref="A1:E82" headerRowCount="1">
  <x:tableColumns count="5">
    <x:tableColumn id="1" name="Linha Excel"/>
    <x:tableColumn id="2" name="SKU"/>
    <x:tableColumn id="3" name="Descrição"/>
    <x:tableColumn id="4" name="Categoria"/>
    <x:tableColumn id="5" name="Pendê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1f1dd1ebcf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a847a587bc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Relatório de Precificação dos Perfis</x:v>
      </x:c>
      <x:c r="B1" s="3"/>
      <x:c r="C1" s="3"/>
      <x:c r="D1" s="3"/>
      <x:c r="E1" s="3"/>
      <x:c r="F1" s="3"/>
    </x:row>
    <x:row r="2">
      <x:c r="A2" s="5" t="str">
        <x:v>Fonte: Perfis nomes e códigos.xlsx · Carga no catálogo online em 23/06/2026</x:v>
      </x:c>
      <x:c r="B2" s="5"/>
      <x:c r="C2" s="5"/>
      <x:c r="D2" s="5"/>
      <x:c r="E2" s="5"/>
      <x:c r="F2" s="5"/>
    </x:row>
    <x:row r="4">
      <x:c r="A4" s="10" t="str">
        <x:v>Indicador</x:v>
      </x:c>
      <x:c r="B4" s="11" t="str">
        <x:v>Quantidade</x:v>
      </x:c>
    </x:row>
    <x:row r="5">
      <x:c r="A5" s="14" t="str">
        <x:v>Linhas processadas</x:v>
      </x:c>
      <x:c r="B5" s="15" t="n">
        <x:f>COUNTA('Todos os SKUs'!B2:B662)</x:f>
        <x:v>661</x:v>
      </x:c>
    </x:row>
    <x:row r="6">
      <x:c r="A6" s="16" t="str">
        <x:v>Preços calculados</x:v>
      </x:c>
      <x:c r="B6" s="17" t="n">
        <x:f>COUNTIF('Todos os SKUs'!I2:I662,"Precificado")</x:f>
        <x:v>580</x:v>
      </x:c>
    </x:row>
    <x:row r="7">
      <x:c r="A7" s="18" t="str">
        <x:v>Preços pendentes</x:v>
      </x:c>
      <x:c r="B7" s="19" t="n">
        <x:f>COUNTIF('Todos os SKUs'!I2:I662,"Pendente")</x:f>
        <x:v>81</x:v>
      </x:c>
    </x:row>
    <x:row r="9">
      <x:c r="A9" s="10" t="str">
        <x:v>Regra</x:v>
      </x:c>
      <x:c r="B9" s="13" t="str">
        <x:v>Custo por kg</x:v>
      </x:c>
      <x:c r="C9" s="11" t="str">
        <x:v>Aplicação</x:v>
      </x:c>
    </x:row>
    <x:row r="10">
      <x:c r="A10" s="14" t="str">
        <x:v>Alumínio cru</x:v>
      </x:c>
      <x:c r="B10" s="23" t="n">
        <x:v>34.74</x:v>
      </x:c>
      <x:c r="C10" s="15" t="str">
        <x:v>Sem cor identificada / PINTAR</x:v>
      </x:c>
    </x:row>
    <x:row r="11">
      <x:c r="A11" s="16" t="str">
        <x:v>Branco / White Pearl</x:v>
      </x:c>
      <x:c r="B11" s="24" t="n">
        <x:v>40.57</x:v>
      </x:c>
      <x:c r="C11" s="17" t="str">
        <x:v>R$ 34,74 + R$ 5,83</x:v>
      </x:c>
    </x:row>
    <x:row r="12">
      <x:c r="A12" s="16" t="str">
        <x:v>Bronze / Copper / Marrom</x:v>
      </x:c>
      <x:c r="B12" s="24" t="n">
        <x:v>42.94</x:v>
      </x:c>
      <x:c r="C12" s="17" t="str">
        <x:v>R$ 34,74 + R$ 8,20</x:v>
      </x:c>
    </x:row>
    <x:row r="13">
      <x:c r="A13" s="16" t="str">
        <x:v>Grafite</x:v>
      </x:c>
      <x:c r="B13" s="24" t="n">
        <x:v>41.98</x:v>
      </x:c>
      <x:c r="C13" s="17" t="str">
        <x:v>R$ 34,74 + R$ 7,24</x:v>
      </x:c>
    </x:row>
    <x:row r="14">
      <x:c r="A14" s="16" t="str">
        <x:v>Bege / Oyster</x:v>
      </x:c>
      <x:c r="B14" s="24" t="n">
        <x:v>44.39</x:v>
      </x:c>
      <x:c r="C14" s="17" t="str">
        <x:v>R$ 34,74 + R$ 9,65</x:v>
      </x:c>
    </x:row>
    <x:row r="15">
      <x:c r="A15" s="16" t="str">
        <x:v>Cinza / Silver / Stone / Shadow</x:v>
      </x:c>
      <x:c r="B15" s="24" t="n">
        <x:v>42.61</x:v>
      </x:c>
      <x:c r="C15" s="17" t="str">
        <x:v>R$ 34,74 + R$ 7,87</x:v>
      </x:c>
    </x:row>
    <x:row r="16">
      <x:c r="A16" s="16" t="str">
        <x:v>Cherry</x:v>
      </x:c>
      <x:c r="B16" s="24" t="n">
        <x:v>44.92</x:v>
      </x:c>
      <x:c r="C16" s="17" t="str">
        <x:v>R$ 34,74 + R$ 10,18</x:v>
      </x:c>
    </x:row>
    <x:row r="17">
      <x:c r="A17" s="16" t="str">
        <x:v>Darck/Dark Cherry</x:v>
      </x:c>
      <x:c r="B17" s="24" t="n">
        <x:v>43.11</x:v>
      </x:c>
      <x:c r="C17" s="17" t="str">
        <x:v>R$ 34,74 + R$ 8,37</x:v>
      </x:c>
    </x:row>
    <x:row r="18">
      <x:c r="A18" s="16" t="str">
        <x:v>Preto / Night</x:v>
      </x:c>
      <x:c r="B18" s="24" t="n">
        <x:v>39.74</x:v>
      </x:c>
      <x:c r="C18" s="17" t="str">
        <x:v>R$ 34,74 + R$ 5,00</x:v>
      </x:c>
    </x:row>
    <x:row r="19">
      <x:c r="A19" s="18" t="str">
        <x:v>Aço, ferro, inox, galvanizado e códigos de cor</x:v>
      </x:c>
      <x:c r="B19" s="25" t="n">
        <x:v>20</x:v>
      </x:c>
      <x:c r="C19" s="19" t="str">
        <x:v>Preço total informado por kg</x:v>
      </x:c>
    </x:row>
    <x:row r="21">
      <x:c r="A21" s="28" t="str">
        <x:v>Critério de cálculo: valor por metro = custo por kg ÷ metros lineares por kg.</x:v>
      </x:c>
      <x:c r="B21" s="28"/>
      <x:c r="C21" s="28"/>
      <x:c r="D21" s="28"/>
      <x:c r="E21" s="28"/>
      <x:c r="F21" s="28"/>
    </x:row>
    <x:row r="22">
      <x:c r="A22" s="28" t="str">
        <x:v>Foram cadastrados 252 SKUs ausentes com estoque zero; cadastros existentes foram preservados.</x:v>
      </x:c>
      <x:c r="B22" s="28"/>
      <x:c r="C22" s="28"/>
      <x:c r="D22" s="28"/>
      <x:c r="E22" s="28"/>
      <x:c r="F22" s="28"/>
    </x:row>
    <x:row r="23">
      <x:c r="A23" s="28" t="str">
        <x:v>Pendências permanecem sem preço para evitar estimativas falsas quando a descrição não informa o fator kg→m.</x:v>
      </x:c>
      <x:c r="B23" s="28"/>
      <x:c r="C23" s="28"/>
      <x:c r="D23" s="28"/>
      <x:c r="E23" s="28"/>
      <x:c r="F23" s="28"/>
    </x:row>
  </x:sheetData>
  <x:mergeCells>
    <x:mergeCell ref="A1:F1"/>
    <x:mergeCell ref="A2:F2"/>
    <x:mergeCell ref="A21:F21"/>
    <x:mergeCell ref="A22:F22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8" hidden="0" customWidth="1"/>
    <x:col min="4" max="4" width="27" hidden="0" customWidth="1"/>
    <x:col min="5" max="5" width="14" hidden="0" customWidth="1"/>
    <x:col min="6" max="6" width="14" hidden="0" customWidth="1"/>
    <x:col min="7" max="7" width="22" hidden="0" customWidth="1"/>
    <x:col min="8" max="8" width="17" hidden="0" customWidth="1"/>
    <x:col min="9" max="9" width="14" hidden="0" customWidth="1"/>
  </x:cols>
  <x:sheetData>
    <x:row r="1">
      <x:c r="A1" s="10" t="str">
        <x:v>Linha Excel</x:v>
      </x:c>
      <x:c r="B1" s="13" t="str">
        <x:v>SKU</x:v>
      </x:c>
      <x:c r="C1" s="13" t="str">
        <x:v>Descrição</x:v>
      </x:c>
      <x:c r="D1" s="13" t="str">
        <x:v>Categoria</x:v>
      </x:c>
      <x:c r="E1" s="13" t="str">
        <x:v>R$/kg</x:v>
      </x:c>
      <x:c r="F1" s="13" t="str">
        <x:v>m/kg</x:v>
      </x:c>
      <x:c r="G1" s="13" t="str">
        <x:v>Método</x:v>
      </x:c>
      <x:c r="H1" s="13" t="str">
        <x:v>R$/m</x:v>
      </x:c>
      <x:c r="I1" s="11" t="str">
        <x:v>Status</x:v>
      </x:c>
    </x:row>
    <x:row r="2">
      <x:c r="A2" s="14" t="n">
        <x:v>2</x:v>
      </x:c>
      <x:c r="B2" s="20" t="str">
        <x:v>TB.000.000.002</x:v>
      </x:c>
      <x:c r="C2" s="56" t="str">
        <x:v>Perfil AL Tubular R PC005-6000 Branco ML}A sob demanda</x:v>
      </x:c>
      <x:c r="D2" s="20" t="str">
        <x:v>Branco</x:v>
      </x:c>
      <x:c r="E2" s="23" t="n">
        <x:v>40.57</x:v>
      </x:c>
      <x:c r="F2" s="32"/>
      <x:c r="G2" s="20" t="str">
        <x:v>sem-fator</x:v>
      </x:c>
      <x:c r="H2" s="33" t="str">
        <x:f>IFERROR(E2/F2,"")</x:f>
      </x:c>
      <x:c r="I2" s="15" t="str">
        <x:v>Pendente</x:v>
      </x:c>
    </x:row>
    <x:row r="3">
      <x:c r="A3" s="16" t="n">
        <x:v>3</x:v>
      </x:c>
      <x:c r="B3" s="21" t="str">
        <x:v>TB.000.000.001</x:v>
      </x:c>
      <x:c r="C3" s="57" t="str">
        <x:v>Perfil AL Tubular R PC005-6000 Preto ML}A  sob demanda</x:v>
      </x:c>
      <x:c r="D3" s="21" t="str">
        <x:v>Preto</x:v>
      </x:c>
      <x:c r="E3" s="24" t="n">
        <x:v>39.74</x:v>
      </x:c>
      <x:c r="F3" s="34"/>
      <x:c r="G3" s="21" t="str">
        <x:v>sem-fator</x:v>
      </x:c>
      <x:c r="H3" s="35" t="str">
        <x:f>IFERROR(E3/F3,"")</x:f>
      </x:c>
      <x:c r="I3" s="17" t="str">
        <x:v>Pendente</x:v>
      </x:c>
    </x:row>
    <x:row r="4">
      <x:c r="A4" s="16" t="n">
        <x:v>4</x:v>
      </x:c>
      <x:c r="B4" s="21" t="str">
        <x:v>PT.000.17</x:v>
      </x:c>
      <x:c r="C4" s="57" t="str">
        <x:v>Perfil aluminio estrutural 45x90mm (Ban001)-4,60m-Cru ml}a</x:v>
      </x:c>
      <x:c r="D4" s="21" t="str">
        <x:v>Alumínio cru</x:v>
      </x:c>
      <x:c r="E4" s="24" t="n">
        <x:v>34.74</x:v>
      </x:c>
      <x:c r="F4" s="34"/>
      <x:c r="G4" s="21" t="str">
        <x:v>sem-fator</x:v>
      </x:c>
      <x:c r="H4" s="35" t="str">
        <x:f>IFERROR(E4/F4,"")</x:f>
      </x:c>
      <x:c r="I4" s="17" t="str">
        <x:v>Pendente</x:v>
      </x:c>
    </x:row>
    <x:row r="5">
      <x:c r="A5" s="16" t="n">
        <x:v>5</x:v>
      </x:c>
      <x:c r="B5" s="21" t="str">
        <x:v>PS.000.469</x:v>
      </x:c>
      <x:c r="C5" s="57" t="str">
        <x:v>Perfil Arremate Guia AirZip 5.2x4.2cm Preto 6m 24976009 (B) 1kg=3,03m (toldo) (Q.A.F.L2) q.a.f.l repinj 5,2</x:v>
      </x:c>
      <x:c r="D5" s="21" t="str">
        <x:v>Preto</x:v>
      </x:c>
      <x:c r="E5" s="24" t="n">
        <x:v>39.74</x:v>
      </x:c>
      <x:c r="F5" s="34" t="n">
        <x:v>3.03</x:v>
      </x:c>
      <x:c r="G5" s="21" t="str">
        <x:v>descricao</x:v>
      </x:c>
      <x:c r="H5" s="35" t="n">
        <x:f>IFERROR(E5/F5,"")</x:f>
        <x:v>13.115511551155118</x:v>
      </x:c>
      <x:c r="I5" s="17" t="str">
        <x:v>Precificado</x:v>
      </x:c>
    </x:row>
    <x:row r="6">
      <x:c r="A6" s="16" t="n">
        <x:v>6</x:v>
      </x:c>
      <x:c r="B6" s="21" t="str">
        <x:v>PS.000.040</x:v>
      </x:c>
      <x:c r="C6" s="57" t="str">
        <x:v>Perfil Arremate Guia Z Blinds 90 Branco 5,50m (28615501) 06/24 1kg.= Pct5,50f(toldo.) - FORA DE LINHA</x:v>
      </x:c>
      <x:c r="D6" s="21" t="str">
        <x:v>Branco</x:v>
      </x:c>
      <x:c r="E6" s="24" t="n">
        <x:v>40.57</x:v>
      </x:c>
      <x:c r="F6" s="34"/>
      <x:c r="G6" s="21" t="str">
        <x:v>sem-fator</x:v>
      </x:c>
      <x:c r="H6" s="35" t="str">
        <x:f>IFERROR(E6/F6,"")</x:f>
      </x:c>
      <x:c r="I6" s="17" t="str">
        <x:v>Pendente</x:v>
      </x:c>
    </x:row>
    <x:row r="7">
      <x:c r="A7" s="16" t="n">
        <x:v>7</x:v>
      </x:c>
      <x:c r="B7" s="21" t="str">
        <x:v>1008002233</x:v>
      </x:c>
      <x:c r="C7" s="57" t="str">
        <x:v>Perfil Bando da Rollo M.TEXTU. Preto 5295-6m  {1kg.=1,224ml}</x:v>
      </x:c>
      <x:c r="D7" s="21" t="str">
        <x:v>Preto</x:v>
      </x:c>
      <x:c r="E7" s="24" t="n">
        <x:v>39.74</x:v>
      </x:c>
      <x:c r="F7" s="34" t="n">
        <x:v>1.224</x:v>
      </x:c>
      <x:c r="G7" s="21" t="str">
        <x:v>descricao</x:v>
      </x:c>
      <x:c r="H7" s="35" t="n">
        <x:f>IFERROR(E7/F7,"")</x:f>
        <x:v>32.46732026143791</x:v>
      </x:c>
      <x:c r="I7" s="17" t="str">
        <x:v>Precificado</x:v>
      </x:c>
    </x:row>
    <x:row r="8">
      <x:c r="A8" s="16" t="n">
        <x:v>8</x:v>
      </x:c>
      <x:c r="B8" s="21" t="str">
        <x:v>001.008.002.001.90</x:v>
      </x:c>
      <x:c r="C8" s="57" t="str">
        <x:v>Perfil Bando Gran. Dimens (novax4746) Branco{1kg.=1,8692ml} PCT 4,50M e 6M  F0234</x:v>
      </x:c>
      <x:c r="D8" s="21" t="str">
        <x:v>Branco</x:v>
      </x:c>
      <x:c r="E8" s="24" t="n">
        <x:v>40.57</x:v>
      </x:c>
      <x:c r="F8" s="34" t="n">
        <x:v>1.8692</x:v>
      </x:c>
      <x:c r="G8" s="21" t="str">
        <x:v>descricao</x:v>
      </x:c>
      <x:c r="H8" s="35" t="n">
        <x:f>IFERROR(E8/F8,"")</x:f>
        <x:v>21.704472501604965</x:v>
      </x:c>
      <x:c r="I8" s="17" t="str">
        <x:v>Precificado</x:v>
      </x:c>
    </x:row>
    <x:row r="9">
      <x:c r="A9" s="16" t="n">
        <x:v>9</x:v>
      </x:c>
      <x:c r="B9" s="21" t="str">
        <x:v>001.008.002.060.57</x:v>
      </x:c>
      <x:c r="C9" s="57" t="str">
        <x:v>Perfil Bando Gran. Dimens (novax4746) M.TEXTU. Bronze {1kg.=1,8692ml} PCT4,5M e 6M (Q.A.F.L UNX) F0234</x:v>
      </x:c>
      <x:c r="D9" s="21" t="str">
        <x:v>Bronze</x:v>
      </x:c>
      <x:c r="E9" s="24" t="n">
        <x:v>42.94</x:v>
      </x:c>
      <x:c r="F9" s="34" t="n">
        <x:v>1.8692</x:v>
      </x:c>
      <x:c r="G9" s="21" t="str">
        <x:v>descricao</x:v>
      </x:c>
      <x:c r="H9" s="35" t="n">
        <x:f>IFERROR(E9/F9,"")</x:f>
        <x:v>22.972394607318638</x:v>
      </x:c>
      <x:c r="I9" s="17" t="str">
        <x:v>Precificado</x:v>
      </x:c>
    </x:row>
    <x:row r="10">
      <x:c r="A10" s="16" t="n">
        <x:v>10</x:v>
      </x:c>
      <x:c r="B10" s="21" t="str">
        <x:v>001.008.002.233.23</x:v>
      </x:c>
      <x:c r="C10" s="57" t="str">
        <x:v>Perfil Bando Gran. Dimens (novax4746) Preto pt (4,5 e 6m){1kg.=1,8692ml} PCT6M F0234</x:v>
      </x:c>
      <x:c r="D10" s="21" t="str">
        <x:v>Preto</x:v>
      </x:c>
      <x:c r="E10" s="24" t="n">
        <x:v>39.74</x:v>
      </x:c>
      <x:c r="F10" s="34" t="n">
        <x:v>1.8692</x:v>
      </x:c>
      <x:c r="G10" s="21" t="str">
        <x:v>descricao</x:v>
      </x:c>
      <x:c r="H10" s="35" t="n">
        <x:f>IFERROR(E10/F10,"")</x:f>
        <x:v>21.26043227049005</x:v>
      </x:c>
      <x:c r="I10" s="17" t="str">
        <x:v>Precificado</x:v>
      </x:c>
    </x:row>
    <x:row r="11">
      <x:c r="A11" s="16" t="n">
        <x:v>11</x:v>
      </x:c>
      <x:c r="B11" s="21" t="str">
        <x:v>1008001000</x:v>
      </x:c>
      <x:c r="C11" s="57" t="str">
        <x:v>Perfil Bando PV (alpex190/REI830) .PINTAR 5m {1kg.=3,396ml}a Q.A.SS 6m</x:v>
      </x:c>
      <x:c r="D11" s="21" t="str">
        <x:v>Alumínio cru</x:v>
      </x:c>
      <x:c r="E11" s="24" t="n">
        <x:v>34.74</x:v>
      </x:c>
      <x:c r="F11" s="34" t="n">
        <x:v>3.396</x:v>
      </x:c>
      <x:c r="G11" s="21" t="str">
        <x:v>descricao</x:v>
      </x:c>
      <x:c r="H11" s="35" t="n">
        <x:f>IFERROR(E11/F11,"")</x:f>
        <x:v>10.229681978798588</x:v>
      </x:c>
      <x:c r="I11" s="17" t="str">
        <x:v>Precificado</x:v>
      </x:c>
    </x:row>
    <x:row r="12">
      <x:c r="A12" s="16" t="n">
        <x:v>12</x:v>
      </x:c>
      <x:c r="B12" s="21" t="str">
        <x:v>1008168240</x:v>
      </x:c>
      <x:c r="C12" s="57" t="str">
        <x:v>Perfil Bando PV (alpex190/REI830) Branco 6m (e 5m) {1kg.=2,961ml R.V.Q.N</x:v>
      </x:c>
      <x:c r="D12" s="21" t="str">
        <x:v>Branco</x:v>
      </x:c>
      <x:c r="E12" s="24" t="n">
        <x:v>40.57</x:v>
      </x:c>
      <x:c r="F12" s="34" t="n">
        <x:v>2.961</x:v>
      </x:c>
      <x:c r="G12" s="21" t="str">
        <x:v>descricao</x:v>
      </x:c>
      <x:c r="H12" s="35" t="n">
        <x:f>IFERROR(E12/F12,"")</x:f>
        <x:v>13.70145221209051</x:v>
      </x:c>
      <x:c r="I12" s="17" t="str">
        <x:v>Precificado</x:v>
      </x:c>
    </x:row>
    <x:row r="13">
      <x:c r="A13" s="16" t="n">
        <x:v>13</x:v>
      </x:c>
      <x:c r="B13" s="21" t="str">
        <x:v>1008001001</x:v>
      </x:c>
      <x:c r="C13" s="57" t="str">
        <x:v>Perfil Bando PV (alpex190/REI830) Branco bco 5m (e 6m) (B) {1Kg.=2,961ml}q.a.s.s6m</x:v>
      </x:c>
      <x:c r="D13" s="21" t="str">
        <x:v>Branco</x:v>
      </x:c>
      <x:c r="E13" s="24" t="n">
        <x:v>40.57</x:v>
      </x:c>
      <x:c r="F13" s="34" t="n">
        <x:v>2.961</x:v>
      </x:c>
      <x:c r="G13" s="21" t="str">
        <x:v>descricao</x:v>
      </x:c>
      <x:c r="H13" s="35" t="n">
        <x:f>IFERROR(E13/F13,"")</x:f>
        <x:v>13.70145221209051</x:v>
      </x:c>
      <x:c r="I13" s="17" t="str">
        <x:v>Precificado</x:v>
      </x:c>
    </x:row>
    <x:row r="14">
      <x:c r="A14" s="16" t="n">
        <x:v>14</x:v>
      </x:c>
      <x:c r="B14" s="21" t="str">
        <x:v>1008001005</x:v>
      </x:c>
      <x:c r="C14" s="57" t="str">
        <x:v>Perfil Bando PV .PINTAR 190/REI830- 6m {1kg.=2,786 ml}a</x:v>
      </x:c>
      <x:c r="D14" s="21" t="str">
        <x:v>Alumínio cru</x:v>
      </x:c>
      <x:c r="E14" s="24" t="n">
        <x:v>34.74</x:v>
      </x:c>
      <x:c r="F14" s="34" t="n">
        <x:v>2.786</x:v>
      </x:c>
      <x:c r="G14" s="21" t="str">
        <x:v>descricao</x:v>
      </x:c>
      <x:c r="H14" s="35" t="n">
        <x:f>IFERROR(E14/F14,"")</x:f>
        <x:v>12.46949030868629</x:v>
      </x:c>
      <x:c r="I14" s="17" t="str">
        <x:v>Precificado</x:v>
      </x:c>
    </x:row>
    <x:row r="15">
      <x:c r="A15" s="16" t="n">
        <x:v>15</x:v>
      </x:c>
      <x:c r="B15" s="21" t="str">
        <x:v>PS.000.055</x:v>
      </x:c>
      <x:c r="C15" s="57" t="str">
        <x:v>Perfil Bar. Inf. Vertical Branco 6,00m (e7m) (12206001) {1kg.=1,06m} Pct84f Pct6m 02/23 ccc(toldo.) (Q.A.ss3990. 18/12)</x:v>
      </x:c>
      <x:c r="D15" s="21" t="str">
        <x:v>Branco</x:v>
      </x:c>
      <x:c r="E15" s="24" t="n">
        <x:v>40.57</x:v>
      </x:c>
      <x:c r="F15" s="34" t="n">
        <x:v>1.06</x:v>
      </x:c>
      <x:c r="G15" s="21" t="str">
        <x:v>descricao</x:v>
      </x:c>
      <x:c r="H15" s="35" t="n">
        <x:f>IFERROR(E15/F15,"")</x:f>
        <x:v>38.27358490566038</x:v>
      </x:c>
      <x:c r="I15" s="17" t="str">
        <x:v>Precificado</x:v>
      </x:c>
    </x:row>
    <x:row r="16">
      <x:c r="A16" s="16" t="n">
        <x:v>16</x:v>
      </x:c>
      <x:c r="B16" s="21" t="str">
        <x:v>PS.000.106</x:v>
      </x:c>
      <x:c r="C16" s="57" t="str">
        <x:v>Perfil Bar.Inf.AirZip Preto 5m(6e7)UX-0013(24825009) (B) (1kg.=1,06m)Pct40f (toldo) Q.A.F.L. SS(())  ESAF-3990-5</x:v>
      </x:c>
      <x:c r="D16" s="21" t="str">
        <x:v>Preto</x:v>
      </x:c>
      <x:c r="E16" s="24" t="n">
        <x:v>39.74</x:v>
      </x:c>
      <x:c r="F16" s="34" t="n">
        <x:v>1.06</x:v>
      </x:c>
      <x:c r="G16" s="21" t="str">
        <x:v>descricao</x:v>
      </x:c>
      <x:c r="H16" s="35" t="n">
        <x:f>IFERROR(E16/F16,"")</x:f>
        <x:v>37.490566037735846</x:v>
      </x:c>
      <x:c r="I16" s="17" t="str">
        <x:v>Precificado</x:v>
      </x:c>
    </x:row>
    <x:row r="17">
      <x:c r="A17" s="16" t="n">
        <x:v>17</x:v>
      </x:c>
      <x:c r="B17" s="21" t="str">
        <x:v>TD.000.004</x:v>
      </x:c>
      <x:c r="C17" s="57" t="str">
        <x:v>Perfil Barra Carga Screen Branco (80170038) 1kg.= F0791 F,,</x:v>
      </x:c>
      <x:c r="D17" s="21" t="str">
        <x:v>Branco</x:v>
      </x:c>
      <x:c r="E17" s="24" t="n">
        <x:v>40.57</x:v>
      </x:c>
      <x:c r="F17" s="34"/>
      <x:c r="G17" s="21" t="str">
        <x:v>sem-fator</x:v>
      </x:c>
      <x:c r="H17" s="35" t="str">
        <x:f>IFERROR(E17/F17,"")</x:f>
      </x:c>
      <x:c r="I17" s="17" t="str">
        <x:v>Pendente</x:v>
      </x:c>
    </x:row>
    <x:row r="18">
      <x:c r="A18" s="16" t="n">
        <x:v>18</x:v>
      </x:c>
      <x:c r="B18" s="21" t="str">
        <x:v>PS.000.655</x:v>
      </x:c>
      <x:c r="C18" s="57" t="str">
        <x:v>Perfil Barra chata 1" x 1/8" 6,00m preta ml}a Obs J 1kg.=</x:v>
      </x:c>
      <x:c r="D18" s="21" t="str">
        <x:v>Preto</x:v>
      </x:c>
      <x:c r="E18" s="24" t="n">
        <x:v>39.74</x:v>
      </x:c>
      <x:c r="F18" s="34"/>
      <x:c r="G18" s="21" t="str">
        <x:v>sem-fator</x:v>
      </x:c>
      <x:c r="H18" s="35" t="str">
        <x:f>IFERROR(E18/F18,"")</x:f>
      </x:c>
      <x:c r="I18" s="17" t="str">
        <x:v>Pendente</x:v>
      </x:c>
    </x:row>
    <x:row r="19">
      <x:c r="A19" s="16" t="n">
        <x:v>19</x:v>
      </x:c>
      <x:c r="B19" s="21" t="str">
        <x:v>PS.000.280</x:v>
      </x:c>
      <x:c r="C19" s="57" t="str">
        <x:v>Perfil Barra de ferro redonda crua 1 polegada 6m inteira MP (1268) 1kg.= Pct6 03/23 (toldo.)  ml}a</x:v>
      </x:c>
      <x:c r="D19" s="21" t="str">
        <x:v>Aço/outros</x:v>
      </x:c>
      <x:c r="E19" s="24" t="n">
        <x:v>20</x:v>
      </x:c>
      <x:c r="F19" s="34"/>
      <x:c r="G19" s="21" t="str">
        <x:v>sem-fator</x:v>
      </x:c>
      <x:c r="H19" s="35" t="str">
        <x:f>IFERROR(E19/F19,"")</x:f>
      </x:c>
      <x:c r="I19" s="17" t="str">
        <x:v>Pendente</x:v>
      </x:c>
    </x:row>
    <x:row r="20">
      <x:c r="A20" s="16" t="n">
        <x:v>20</x:v>
      </x:c>
      <x:c r="B20" s="21" t="str">
        <x:v>PS.000.285</x:v>
      </x:c>
      <x:c r="C20" s="57" t="str">
        <x:v>Perfil Barra ferro lamin.redon. Zincado 6m 1268 (A) 1kg.= UX-0027 beneficiado (a.c.t.d) (toldo) mrp106</x:v>
      </x:c>
      <x:c r="D20" s="21" t="str">
        <x:v>Aço/outros</x:v>
      </x:c>
      <x:c r="E20" s="24" t="n">
        <x:v>20</x:v>
      </x:c>
      <x:c r="F20" s="34"/>
      <x:c r="G20" s="21" t="str">
        <x:v>sem-fator</x:v>
      </x:c>
      <x:c r="H20" s="35" t="str">
        <x:f>IFERROR(E20/F20,"")</x:f>
      </x:c>
      <x:c r="I20" s="17" t="str">
        <x:v>Pendente</x:v>
      </x:c>
    </x:row>
    <x:row r="21">
      <x:c r="A21" s="16" t="n">
        <x:v>21</x:v>
      </x:c>
      <x:c r="B21" s="21" t="str">
        <x:v>PS.000.159</x:v>
      </x:c>
      <x:c r="C21" s="57" t="str">
        <x:v>Perfil Barra Frontal 60 Preto 7m (e5m) (34607009) (1kg.=1,37m) Pct42f Pct7m (toldo.) q.a.f.l essa largu. ccc ss</x:v>
      </x:c>
      <x:c r="D21" s="21" t="str">
        <x:v>Preto</x:v>
      </x:c>
      <x:c r="E21" s="24" t="n">
        <x:v>39.74</x:v>
      </x:c>
      <x:c r="F21" s="34" t="n">
        <x:v>1.37</x:v>
      </x:c>
      <x:c r="G21" s="21" t="str">
        <x:v>descricao</x:v>
      </x:c>
      <x:c r="H21" s="35" t="n">
        <x:f>IFERROR(E21/F21,"")</x:f>
        <x:v>29.00729927007299</x:v>
      </x:c>
      <x:c r="I21" s="17" t="str">
        <x:v>Precificado</x:v>
      </x:c>
    </x:row>
    <x:row r="22">
      <x:c r="A22" s="16" t="n">
        <x:v>22</x:v>
      </x:c>
      <x:c r="B22" s="21" t="str">
        <x:v>4.5.075.199.1.</x:v>
      </x:c>
      <x:c r="C22" s="57" t="str">
        <x:v>Perfil Barra Redonda Inox 304 9,53 X 6000mm  (toldo.) 06/24 ss PS.000.053</x:v>
      </x:c>
      <x:c r="D22" s="21" t="str">
        <x:v>Aço/outros</x:v>
      </x:c>
      <x:c r="E22" s="24" t="n">
        <x:v>20</x:v>
      </x:c>
      <x:c r="F22" s="34"/>
      <x:c r="G22" s="21" t="str">
        <x:v>sem-fator</x:v>
      </x:c>
      <x:c r="H22" s="35" t="str">
        <x:f>IFERROR(E22/F22,"")</x:f>
      </x:c>
      <x:c r="I22" s="17" t="str">
        <x:v>Pendente</x:v>
      </x:c>
    </x:row>
    <x:row r="23">
      <x:c r="A23" s="16" t="n">
        <x:v>23</x:v>
      </x:c>
      <x:c r="B23" s="21" t="str">
        <x:v>TD.000.006</x:v>
      </x:c>
      <x:c r="C23" s="57" t="str">
        <x:v>Perfil Barra Refuerzo 22mm Screen Zincada 4m (80170055) 1kg.= F0791 F,,</x:v>
      </x:c>
      <x:c r="D23" s="21" t="str">
        <x:v>Aço/outros</x:v>
      </x:c>
      <x:c r="E23" s="24" t="n">
        <x:v>20</x:v>
      </x:c>
      <x:c r="F23" s="34"/>
      <x:c r="G23" s="21" t="str">
        <x:v>sem-fator</x:v>
      </x:c>
      <x:c r="H23" s="35" t="str">
        <x:f>IFERROR(E23/F23,"")</x:f>
      </x:c>
      <x:c r="I23" s="17" t="str">
        <x:v>Pendente</x:v>
      </x:c>
    </x:row>
    <x:row r="24">
      <x:c r="A24" s="16" t="n">
        <x:v>24</x:v>
      </x:c>
      <x:c r="B24" s="21" t="str">
        <x:v>PL200089</x:v>
      </x:c>
      <x:c r="C24" s="57" t="str">
        <x:v>Perfil Base 25mm .PINTAR (PLC20-01/ESAF-3932) {1kg.= 4,27350ml}a 6m a F.N.P.4/23 p.f.</x:v>
      </x:c>
      <x:c r="D24" s="21" t="str">
        <x:v>Alumínio cru</x:v>
      </x:c>
      <x:c r="E24" s="24" t="n">
        <x:v>34.74</x:v>
      </x:c>
      <x:c r="F24" s="34" t="n">
        <x:v>4.2735</x:v>
      </x:c>
      <x:c r="G24" s="21" t="str">
        <x:v>descricao</x:v>
      </x:c>
      <x:c r="H24" s="35" t="n">
        <x:f>IFERROR(E24/F24,"")</x:f>
        <x:v>8.129168129168129</x:v>
      </x:c>
      <x:c r="I24" s="17" t="str">
        <x:v>Precificado</x:v>
      </x:c>
    </x:row>
    <x:row r="25">
      <x:c r="A25" s="16" t="n">
        <x:v>25</x:v>
      </x:c>
      <x:c r="B25" s="21" t="str">
        <x:v>PLC00083</x:v>
      </x:c>
      <x:c r="C25" s="57" t="str">
        <x:v>Perfil Base 25mm Bege (PLC20-01/ES-3932) (1kg.=4,38m) (B) pct139,20f 5,8m 4/23</x:v>
      </x:c>
      <x:c r="D25" s="21" t="str">
        <x:v>Bege</x:v>
      </x:c>
      <x:c r="E25" s="24" t="n">
        <x:v>44.39</x:v>
      </x:c>
      <x:c r="F25" s="34" t="n">
        <x:v>4.38</x:v>
      </x:c>
      <x:c r="G25" s="21" t="str">
        <x:v>descricao</x:v>
      </x:c>
      <x:c r="H25" s="35" t="n">
        <x:f>IFERROR(E25/F25,"")</x:f>
        <x:v>10.134703196347033</x:v>
      </x:c>
      <x:c r="I25" s="17" t="str">
        <x:v>Precificado</x:v>
      </x:c>
    </x:row>
    <x:row r="26">
      <x:c r="A26" s="16" t="n">
        <x:v>26</x:v>
      </x:c>
      <x:c r="B26" s="21" t="str">
        <x:v>PL200087</x:v>
      </x:c>
      <x:c r="C26" s="57" t="str">
        <x:v>Perfil Base 25mm Branco (PLC20-01/ESAF-3932) (B) {1kg.=4,27350m} 6m 5/19</x:v>
      </x:c>
      <x:c r="D26" s="21" t="str">
        <x:v>Branco</x:v>
      </x:c>
      <x:c r="E26" s="24" t="n">
        <x:v>40.57</x:v>
      </x:c>
      <x:c r="F26" s="34" t="n">
        <x:v>4.2735</x:v>
      </x:c>
      <x:c r="G26" s="21" t="str">
        <x:v>descricao</x:v>
      </x:c>
      <x:c r="H26" s="35" t="n">
        <x:f>IFERROR(E26/F26,"")</x:f>
        <x:v>9.493389493389493</x:v>
      </x:c>
      <x:c r="I26" s="17" t="str">
        <x:v>Precificado</x:v>
      </x:c>
    </x:row>
    <x:row r="27">
      <x:c r="A27" s="16" t="n">
        <x:v>27</x:v>
      </x:c>
      <x:c r="B27" s="21" t="str">
        <x:v>PLC00084</x:v>
      </x:c>
      <x:c r="C27" s="57" t="str">
        <x:v>Perfil Base 25mm Bronze (PLC20-01/ES-3932) (1kg.=4,38m) F.N.P.5.8m 4/23 p.f.</x:v>
      </x:c>
      <x:c r="D27" s="21" t="str">
        <x:v>Bronze</x:v>
      </x:c>
      <x:c r="E27" s="24" t="n">
        <x:v>42.94</x:v>
      </x:c>
      <x:c r="F27" s="34" t="n">
        <x:v>4.38</x:v>
      </x:c>
      <x:c r="G27" s="21" t="str">
        <x:v>descricao</x:v>
      </x:c>
      <x:c r="H27" s="35" t="n">
        <x:f>IFERROR(E27/F27,"")</x:f>
        <x:v>9.803652968036529</x:v>
      </x:c>
      <x:c r="I27" s="17" t="str">
        <x:v>Precificado</x:v>
      </x:c>
    </x:row>
    <x:row r="28">
      <x:c r="A28" s="16" t="n">
        <x:v>28</x:v>
      </x:c>
      <x:c r="B28" s="21" t="str">
        <x:v>PLC00085</x:v>
      </x:c>
      <x:c r="C28" s="57" t="str">
        <x:v>Perfil Base 25mm Cinza (PLC20-01/ESAF-3932) (1kg.=4,38m) pct139,20f 5,8m</x:v>
      </x:c>
      <x:c r="D28" s="21" t="str">
        <x:v>Cinza</x:v>
      </x:c>
      <x:c r="E28" s="24" t="n">
        <x:v>42.61</x:v>
      </x:c>
      <x:c r="F28" s="34" t="n">
        <x:v>4.38</x:v>
      </x:c>
      <x:c r="G28" s="21" t="str">
        <x:v>descricao</x:v>
      </x:c>
      <x:c r="H28" s="35" t="n">
        <x:f>IFERROR(E28/F28,"")</x:f>
        <x:v>9.728310502283104</x:v>
      </x:c>
      <x:c r="I28" s="17" t="str">
        <x:v>Precificado</x:v>
      </x:c>
    </x:row>
    <x:row r="29">
      <x:c r="A29" s="16" t="n">
        <x:v>29</x:v>
      </x:c>
      <x:c r="B29" s="21" t="str">
        <x:v>PLC00086</x:v>
      </x:c>
      <x:c r="C29" s="57" t="str">
        <x:v>Perfil Base 25mm Preto (PLC20-01/ESAF-3932)  {1kg.= 4,27650ml} 6m  F.N.P. 5,8m 4/23 p.f.</x:v>
      </x:c>
      <x:c r="D29" s="21" t="str">
        <x:v>Preto</x:v>
      </x:c>
      <x:c r="E29" s="24" t="n">
        <x:v>39.74</x:v>
      </x:c>
      <x:c r="F29" s="34" t="n">
        <x:v>4.2765</x:v>
      </x:c>
      <x:c r="G29" s="21" t="str">
        <x:v>descricao</x:v>
      </x:c>
      <x:c r="H29" s="35" t="n">
        <x:f>IFERROR(E29/F29,"")</x:f>
        <x:v>9.292645855255465</x:v>
      </x:c>
      <x:c r="I29" s="17" t="str">
        <x:v>Precificado</x:v>
      </x:c>
    </x:row>
    <x:row r="30">
      <x:c r="A30" s="16" t="n">
        <x:v>30</x:v>
      </x:c>
      <x:c r="B30" s="21" t="str">
        <x:v>1008004009</x:v>
      </x:c>
      <x:c r="C30" s="57" t="str">
        <x:v>Perfil Base de PHA 25/16 cor 009 PCT4,9 cx88,2 1kg.= (Q.A.F.L.)</x:v>
      </x:c>
      <x:c r="D30" s="21" t="str">
        <x:v>Código de cor</x:v>
      </x:c>
      <x:c r="E30" s="24" t="n">
        <x:v>20</x:v>
      </x:c>
      <x:c r="F30" s="34"/>
      <x:c r="G30" s="21" t="str">
        <x:v>sem-fator</x:v>
      </x:c>
      <x:c r="H30" s="35" t="str">
        <x:f>IFERROR(E30/F30,"")</x:f>
      </x:c>
      <x:c r="I30" s="17" t="str">
        <x:v>Pendente</x:v>
      </x:c>
    </x:row>
    <x:row r="31">
      <x:c r="A31" s="16" t="n">
        <x:v>31</x:v>
      </x:c>
      <x:c r="B31" s="21" t="str">
        <x:v>1008004020</x:v>
      </x:c>
      <x:c r="C31" s="57" t="str">
        <x:v>Perfil Base de PHA 25/16 cor 020  PCT4,9 cx88,2 1kg.= (Q.A.F.L.)</x:v>
      </x:c>
      <x:c r="D31" s="21" t="str">
        <x:v>Código de cor</x:v>
      </x:c>
      <x:c r="E31" s="24" t="n">
        <x:v>20</x:v>
      </x:c>
      <x:c r="F31" s="34"/>
      <x:c r="G31" s="21" t="str">
        <x:v>sem-fator</x:v>
      </x:c>
      <x:c r="H31" s="35" t="str">
        <x:f>IFERROR(E31/F31,"")</x:f>
      </x:c>
      <x:c r="I31" s="17" t="str">
        <x:v>Pendente</x:v>
      </x:c>
    </x:row>
    <x:row r="32">
      <x:c r="A32" s="16" t="n">
        <x:v>32</x:v>
      </x:c>
      <x:c r="B32" s="21" t="str">
        <x:v>1008004057</x:v>
      </x:c>
      <x:c r="C32" s="57" t="str">
        <x:v>Perfil Base de PHA 25/16 Cor 057 PCT4,9 cx88,2 1kg.= F0583 (Q.A.F.L.)</x:v>
      </x:c>
      <x:c r="D32" s="21" t="str">
        <x:v>Código de cor</x:v>
      </x:c>
      <x:c r="E32" s="24" t="n">
        <x:v>20</x:v>
      </x:c>
      <x:c r="F32" s="34"/>
      <x:c r="G32" s="21" t="str">
        <x:v>sem-fator</x:v>
      </x:c>
      <x:c r="H32" s="35" t="str">
        <x:f>IFERROR(E32/F32,"")</x:f>
      </x:c>
      <x:c r="I32" s="17" t="str">
        <x:v>Pendente</x:v>
      </x:c>
    </x:row>
    <x:row r="33">
      <x:c r="A33" s="16" t="n">
        <x:v>33</x:v>
      </x:c>
      <x:c r="B33" s="21" t="str">
        <x:v>1008004060</x:v>
      </x:c>
      <x:c r="C33" s="57" t="str">
        <x:v>Perfil Base de PHA 25/16 Cor 060 PCT4,9 cx88,2 1kg.= (Q.A.F.L.)</x:v>
      </x:c>
      <x:c r="D33" s="21" t="str">
        <x:v>Código de cor</x:v>
      </x:c>
      <x:c r="E33" s="24" t="n">
        <x:v>20</x:v>
      </x:c>
      <x:c r="F33" s="34"/>
      <x:c r="G33" s="21" t="str">
        <x:v>sem-fator</x:v>
      </x:c>
      <x:c r="H33" s="35" t="str">
        <x:f>IFERROR(E33/F33,"")</x:f>
      </x:c>
      <x:c r="I33" s="17" t="str">
        <x:v>Pendente</x:v>
      </x:c>
    </x:row>
    <x:row r="34">
      <x:c r="A34" s="16" t="n">
        <x:v>34</x:v>
      </x:c>
      <x:c r="B34" s="21" t="str">
        <x:v>1008004061</x:v>
      </x:c>
      <x:c r="C34" s="57" t="str">
        <x:v>Perfil Base de PHA 25/16 Cor 061 PCT4,9 cx88,2 1kg.= (Q.A.F.L.)</x:v>
      </x:c>
      <x:c r="D34" s="21" t="str">
        <x:v>Código de cor</x:v>
      </x:c>
      <x:c r="E34" s="24" t="n">
        <x:v>20</x:v>
      </x:c>
      <x:c r="F34" s="34"/>
      <x:c r="G34" s="21" t="str">
        <x:v>sem-fator</x:v>
      </x:c>
      <x:c r="H34" s="35" t="str">
        <x:f>IFERROR(E34/F34,"")</x:f>
      </x:c>
      <x:c r="I34" s="17" t="str">
        <x:v>Pendente</x:v>
      </x:c>
    </x:row>
    <x:row r="35">
      <x:c r="A35" s="16" t="n">
        <x:v>35</x:v>
      </x:c>
      <x:c r="B35" s="21" t="str">
        <x:v>1008004108</x:v>
      </x:c>
      <x:c r="C35" s="57" t="str">
        <x:v>Perfil Base de PHA 25/16 Cor 108 PCT4,9 cx88,2 1kg.= (Q.A.F.L.)</x:v>
      </x:c>
      <x:c r="D35" s="21" t="str">
        <x:v>Código de cor</x:v>
      </x:c>
      <x:c r="E35" s="24" t="n">
        <x:v>20</x:v>
      </x:c>
      <x:c r="F35" s="34"/>
      <x:c r="G35" s="21" t="str">
        <x:v>sem-fator</x:v>
      </x:c>
      <x:c r="H35" s="35" t="str">
        <x:f>IFERROR(E35/F35,"")</x:f>
      </x:c>
      <x:c r="I35" s="17" t="str">
        <x:v>Pendente</x:v>
      </x:c>
    </x:row>
    <x:row r="36">
      <x:c r="A36" s="16" t="n">
        <x:v>36</x:v>
      </x:c>
      <x:c r="B36" s="21" t="str">
        <x:v>1008004302</x:v>
      </x:c>
      <x:c r="C36" s="57" t="str">
        <x:v>Perfil Base de PHA 25/16 Cor 302 PCT4,88 cx87,84 F0583 1kg.=  (Q.A.F.L.)</x:v>
      </x:c>
      <x:c r="D36" s="21" t="str">
        <x:v>Código de cor</x:v>
      </x:c>
      <x:c r="E36" s="24" t="n">
        <x:v>20</x:v>
      </x:c>
      <x:c r="F36" s="34"/>
      <x:c r="G36" s="21" t="str">
        <x:v>sem-fator</x:v>
      </x:c>
      <x:c r="H36" s="35" t="str">
        <x:f>IFERROR(E36/F36,"")</x:f>
      </x:c>
      <x:c r="I36" s="17" t="str">
        <x:v>Pendente</x:v>
      </x:c>
    </x:row>
    <x:row r="37">
      <x:c r="A37" s="16" t="n">
        <x:v>37</x:v>
      </x:c>
      <x:c r="B37" s="21" t="str">
        <x:v>1008004303</x:v>
      </x:c>
      <x:c r="C37" s="57" t="str">
        <x:v>Perfil Base de PHA 25/16 Cor 303 PCT4,88 cx87,84 F0583 1kg.= (Q.A.F.L.)</x:v>
      </x:c>
      <x:c r="D37" s="21" t="str">
        <x:v>Código de cor</x:v>
      </x:c>
      <x:c r="E37" s="24" t="n">
        <x:v>20</x:v>
      </x:c>
      <x:c r="F37" s="34"/>
      <x:c r="G37" s="21" t="str">
        <x:v>sem-fator</x:v>
      </x:c>
      <x:c r="H37" s="35" t="str">
        <x:f>IFERROR(E37/F37,"")</x:f>
      </x:c>
      <x:c r="I37" s="17" t="str">
        <x:v>Pendente</x:v>
      </x:c>
    </x:row>
    <x:row r="38">
      <x:c r="A38" s="16" t="n">
        <x:v>38</x:v>
      </x:c>
      <x:c r="B38" s="21" t="str">
        <x:v>001.008.004.227.2</x:v>
      </x:c>
      <x:c r="C38" s="57" t="str">
        <x:v>Perfil Base de PHA 25/16 Cor 706 PCT4,88 cx87,84 F0791 F, 1kg.= (Q.A.F.L.)</x:v>
      </x:c>
      <x:c r="D38" s="21" t="str">
        <x:v>Código de cor</x:v>
      </x:c>
      <x:c r="E38" s="24" t="n">
        <x:v>20</x:v>
      </x:c>
      <x:c r="F38" s="34"/>
      <x:c r="G38" s="21" t="str">
        <x:v>sem-fator</x:v>
      </x:c>
      <x:c r="H38" s="35" t="str">
        <x:f>IFERROR(E38/F38,"")</x:f>
      </x:c>
      <x:c r="I38" s="17" t="str">
        <x:v>Pendente</x:v>
      </x:c>
    </x:row>
    <x:row r="39">
      <x:c r="A39" s="16" t="n">
        <x:v>39</x:v>
      </x:c>
      <x:c r="B39" s="21" t="str">
        <x:v>1008004724</x:v>
      </x:c>
      <x:c r="C39" s="57" t="str">
        <x:v>Perfil Base de PHA 25/16 Cor 724  PCT4,9 cx88,2 1kg.= (Q.A.F.L.)</x:v>
      </x:c>
      <x:c r="D39" s="21" t="str">
        <x:v>Código de cor</x:v>
      </x:c>
      <x:c r="E39" s="24" t="n">
        <x:v>20</x:v>
      </x:c>
      <x:c r="F39" s="34"/>
      <x:c r="G39" s="21" t="str">
        <x:v>sem-fator</x:v>
      </x:c>
      <x:c r="H39" s="35" t="str">
        <x:f>IFERROR(E39/F39,"")</x:f>
      </x:c>
      <x:c r="I39" s="17" t="str">
        <x:v>Pendente</x:v>
      </x:c>
    </x:row>
    <x:row r="40">
      <x:c r="A40" s="16" t="n">
        <x:v>40</x:v>
      </x:c>
      <x:c r="B40" s="21" t="str">
        <x:v>1008004755</x:v>
      </x:c>
      <x:c r="C40" s="57" t="str">
        <x:v>Perfil Base de PHA 25/16 Cor 755 PCT4,88 cx87,84 F0791 F, 1kg.= (Q.A.F.L.)</x:v>
      </x:c>
      <x:c r="D40" s="21" t="str">
        <x:v>Código de cor</x:v>
      </x:c>
      <x:c r="E40" s="24" t="n">
        <x:v>20</x:v>
      </x:c>
      <x:c r="F40" s="34"/>
      <x:c r="G40" s="21" t="str">
        <x:v>sem-fator</x:v>
      </x:c>
      <x:c r="H40" s="35" t="str">
        <x:f>IFERROR(E40/F40,"")</x:f>
      </x:c>
      <x:c r="I40" s="17" t="str">
        <x:v>Pendente</x:v>
      </x:c>
    </x:row>
    <x:row r="41">
      <x:c r="A41" s="16" t="n">
        <x:v>41</x:v>
      </x:c>
      <x:c r="B41" s="21" t="str">
        <x:v>1008004958</x:v>
      </x:c>
      <x:c r="C41" s="57" t="str">
        <x:v>Perfil Base de PHA 25/16 Cor 958 PCT4,9 cx88,2 1kg.= (Q.A.F.L.)</x:v>
      </x:c>
      <x:c r="D41" s="21" t="str">
        <x:v>Código de cor</x:v>
      </x:c>
      <x:c r="E41" s="24" t="n">
        <x:v>20</x:v>
      </x:c>
      <x:c r="F41" s="34"/>
      <x:c r="G41" s="21" t="str">
        <x:v>sem-fator</x:v>
      </x:c>
      <x:c r="H41" s="35" t="str">
        <x:f>IFERROR(E41/F41,"")</x:f>
      </x:c>
      <x:c r="I41" s="17" t="str">
        <x:v>Pendente</x:v>
      </x:c>
    </x:row>
    <x:row r="42">
      <x:c r="A42" s="16" t="n">
        <x:v>42</x:v>
      </x:c>
      <x:c r="B42" s="21" t="str">
        <x:v>1008004103</x:v>
      </x:c>
      <x:c r="C42" s="57" t="str">
        <x:v>Perfil Base de PHA 50 (novax/alpex1531) Maple (1kg.=3,534m) PCT6M ????Q.A.F.L</x:v>
      </x:c>
      <x:c r="D42" s="21" t="str">
        <x:v>Alumínio cru</x:v>
      </x:c>
      <x:c r="E42" s="24" t="n">
        <x:v>34.74</x:v>
      </x:c>
      <x:c r="F42" s="34" t="n">
        <x:v>3.534</x:v>
      </x:c>
      <x:c r="G42" s="21" t="str">
        <x:v>descricao</x:v>
      </x:c>
      <x:c r="H42" s="35" t="n">
        <x:f>IFERROR(E42/F42,"")</x:f>
        <x:v>9.830220713073006</x:v>
      </x:c>
      <x:c r="I42" s="17" t="str">
        <x:v>Precificado</x:v>
      </x:c>
    </x:row>
    <x:row r="43">
      <x:c r="A43" s="16" t="n">
        <x:v>43</x:v>
      </x:c>
      <x:c r="B43" s="21" t="str">
        <x:v>001.008.004.000.3</x:v>
      </x:c>
      <x:c r="C43" s="57" t="str">
        <x:v>Perfil Base de PHA 50 .PINTAR 1531 {1kg.=3,36781ml}a</x:v>
      </x:c>
      <x:c r="D43" s="21" t="str">
        <x:v>Alumínio cru</x:v>
      </x:c>
      <x:c r="E43" s="24" t="n">
        <x:v>34.74</x:v>
      </x:c>
      <x:c r="F43" s="34" t="n">
        <x:v>3.36781</x:v>
      </x:c>
      <x:c r="G43" s="21" t="str">
        <x:v>descricao</x:v>
      </x:c>
      <x:c r="H43" s="35" t="n">
        <x:f>IFERROR(E43/F43,"")</x:f>
        <x:v>10.315308761480013</x:v>
      </x:c>
      <x:c r="I43" s="17" t="str">
        <x:v>Precificado</x:v>
      </x:c>
    </x:row>
    <x:row r="44">
      <x:c r="A44" s="16" t="n">
        <x:v>44</x:v>
      </x:c>
      <x:c r="B44" s="21" t="str">
        <x:v>001.008.004.112.2</x:v>
      </x:c>
      <x:c r="C44" s="57" t="str">
        <x:v>Perfil Base de PHA 50 112 Bege 1531-6M (B) {1kg.=3,534ml}</x:v>
      </x:c>
      <x:c r="D44" s="21" t="str">
        <x:v>Bege</x:v>
      </x:c>
      <x:c r="E44" s="24" t="n">
        <x:v>44.39</x:v>
      </x:c>
      <x:c r="F44" s="34" t="n">
        <x:v>3.534</x:v>
      </x:c>
      <x:c r="G44" s="21" t="str">
        <x:v>descricao</x:v>
      </x:c>
      <x:c r="H44" s="35" t="n">
        <x:f>IFERROR(E44/F44,"")</x:f>
        <x:v>12.560837577815507</x:v>
      </x:c>
      <x:c r="I44" s="17" t="str">
        <x:v>Precificado</x:v>
      </x:c>
    </x:row>
    <x:row r="45">
      <x:c r="A45" s="16" t="n">
        <x:v>45</x:v>
      </x:c>
      <x:c r="B45" s="21" t="str">
        <x:v>001.008.004.233.3</x:v>
      </x:c>
      <x:c r="C45" s="57" t="str">
        <x:v>Perfil Base de PHA 50 233 Preto 1531-6M (B) {1kg.=3,534ml}</x:v>
      </x:c>
      <x:c r="D45" s="21" t="str">
        <x:v>Preto</x:v>
      </x:c>
      <x:c r="E45" s="24" t="n">
        <x:v>39.74</x:v>
      </x:c>
      <x:c r="F45" s="34" t="n">
        <x:v>3.534</x:v>
      </x:c>
      <x:c r="G45" s="21" t="str">
        <x:v>descricao</x:v>
      </x:c>
      <x:c r="H45" s="35" t="n">
        <x:f>IFERROR(E45/F45,"")</x:f>
        <x:v>11.245048104131298</x:v>
      </x:c>
      <x:c r="I45" s="17" t="str">
        <x:v>Precificado</x:v>
      </x:c>
    </x:row>
    <x:row r="46">
      <x:c r="A46" s="16" t="n">
        <x:v>46</x:v>
      </x:c>
      <x:c r="B46" s="21" t="str">
        <x:v>001.008.004.544.2</x:v>
      </x:c>
      <x:c r="C46" s="57" t="str">
        <x:v>Perfil Base de PHA 50 544 Branco 1531-6M (B) {1kg.=3,534ml}</x:v>
      </x:c>
      <x:c r="D46" s="21" t="str">
        <x:v>Branco</x:v>
      </x:c>
      <x:c r="E46" s="24" t="n">
        <x:v>40.57</x:v>
      </x:c>
      <x:c r="F46" s="34" t="n">
        <x:v>3.534</x:v>
      </x:c>
      <x:c r="G46" s="21" t="str">
        <x:v>descricao</x:v>
      </x:c>
      <x:c r="H46" s="35" t="n">
        <x:f>IFERROR(E46/F46,"")</x:f>
        <x:v>11.479909451046973</x:v>
      </x:c>
      <x:c r="I46" s="17" t="str">
        <x:v>Precificado</x:v>
      </x:c>
    </x:row>
    <x:row r="47">
      <x:c r="A47" s="16" t="n">
        <x:v>47</x:v>
      </x:c>
      <x:c r="B47" s="21" t="str">
        <x:v>001.008.004.100.20</x:v>
      </x:c>
      <x:c r="C47" s="57" t="str">
        <x:v>Perfil Base de PHA 50 Cherry 8024 1531-6M (B) {1kg.=3,534ml}</x:v>
      </x:c>
      <x:c r="D47" s="21" t="str">
        <x:v>Cherry</x:v>
      </x:c>
      <x:c r="E47" s="24" t="n">
        <x:v>44.92</x:v>
      </x:c>
      <x:c r="F47" s="34" t="n">
        <x:v>3.534</x:v>
      </x:c>
      <x:c r="G47" s="21" t="str">
        <x:v>descricao</x:v>
      </x:c>
      <x:c r="H47" s="35" t="n">
        <x:f>IFERROR(E47/F47,"")</x:f>
        <x:v>12.710809281267686</x:v>
      </x:c>
      <x:c r="I47" s="17" t="str">
        <x:v>Precificado</x:v>
      </x:c>
    </x:row>
    <x:row r="48">
      <x:c r="A48" s="16" t="n">
        <x:v>48</x:v>
      </x:c>
      <x:c r="B48" s="21" t="str">
        <x:v>001.008.004.034.3</x:v>
      </x:c>
      <x:c r="C48" s="57" t="str">
        <x:v>Perfil Base de PHA 50 Cinza 1531-6M (B) {1kg.=3,534ml}</x:v>
      </x:c>
      <x:c r="D48" s="21" t="str">
        <x:v>Cinza</x:v>
      </x:c>
      <x:c r="E48" s="24" t="n">
        <x:v>42.61</x:v>
      </x:c>
      <x:c r="F48" s="34" t="n">
        <x:v>3.534</x:v>
      </x:c>
      <x:c r="G48" s="21" t="str">
        <x:v>descricao</x:v>
      </x:c>
      <x:c r="H48" s="35" t="n">
        <x:f>IFERROR(E48/F48,"")</x:f>
        <x:v>12.057159026598756</x:v>
      </x:c>
      <x:c r="I48" s="17" t="str">
        <x:v>Precificado</x:v>
      </x:c>
    </x:row>
    <x:row r="49">
      <x:c r="A49" s="16" t="n">
        <x:v>49</x:v>
      </x:c>
      <x:c r="B49" s="21" t="str">
        <x:v>001.008.004.303.6</x:v>
      </x:c>
      <x:c r="C49" s="57" t="str">
        <x:v>Perfil Base de PHA 50 Cor 303 PCT5 1kg.= F0544 FORA DE LINHA</x:v>
      </x:c>
      <x:c r="D49" s="21" t="str">
        <x:v>Código de cor</x:v>
      </x:c>
      <x:c r="E49" s="24" t="n">
        <x:v>20</x:v>
      </x:c>
      <x:c r="F49" s="34" t="n">
        <x:v>3.534</x:v>
      </x:c>
      <x:c r="G49" s="21" t="str">
        <x:v>familia-equivalente</x:v>
      </x:c>
      <x:c r="H49" s="35" t="n">
        <x:f>IFERROR(E49/F49,"")</x:f>
        <x:v>5.659309564233164</x:v>
      </x:c>
      <x:c r="I49" s="17" t="str">
        <x:v>Precificado</x:v>
      </x:c>
    </x:row>
    <x:row r="50">
      <x:c r="A50" s="16" t="n">
        <x:v>50</x:v>
      </x:c>
      <x:c r="B50" s="21" t="str">
        <x:v>001.008.004.100.21</x:v>
      </x:c>
      <x:c r="C50" s="57" t="str">
        <x:v>Perfil Base de PHA 50 Dark Cherry 8014 1531-6M (B) {1kg.=3,534ml}</x:v>
      </x:c>
      <x:c r="D50" s="21" t="str">
        <x:v>Darck Cherry</x:v>
      </x:c>
      <x:c r="E50" s="24" t="n">
        <x:v>43.11</x:v>
      </x:c>
      <x:c r="F50" s="34" t="n">
        <x:v>3.534</x:v>
      </x:c>
      <x:c r="G50" s="21" t="str">
        <x:v>descricao</x:v>
      </x:c>
      <x:c r="H50" s="35" t="n">
        <x:f>IFERROR(E50/F50,"")</x:f>
        <x:v>12.198641765704584</x:v>
      </x:c>
      <x:c r="I50" s="17" t="str">
        <x:v>Precificado</x:v>
      </x:c>
    </x:row>
    <x:row r="51">
      <x:c r="A51" s="16" t="n">
        <x:v>51</x:v>
      </x:c>
      <x:c r="B51" s="21" t="str">
        <x:v>BC.000.001</x:v>
      </x:c>
      <x:c r="C51" s="57" t="str">
        <x:v>Perfil Base de PHA 50 Metallic HBR50-100 White Pearl 1/25 PCT5,8m pct46,4f 1kg.= 06/2019 (hol)</x:v>
      </x:c>
      <x:c r="D51" s="21" t="str">
        <x:v>White Pearl</x:v>
      </x:c>
      <x:c r="E51" s="24" t="n">
        <x:v>40.57</x:v>
      </x:c>
      <x:c r="F51" s="34" t="n">
        <x:v>3.534</x:v>
      </x:c>
      <x:c r="G51" s="21" t="str">
        <x:v>familia-equivalente</x:v>
      </x:c>
      <x:c r="H51" s="35" t="n">
        <x:f>IFERROR(E51/F51,"")</x:f>
        <x:v>11.479909451046973</x:v>
      </x:c>
      <x:c r="I51" s="17" t="str">
        <x:v>Precificado</x:v>
      </x:c>
    </x:row>
    <x:row r="52">
      <x:c r="A52" s="16" t="n">
        <x:v>52</x:v>
      </x:c>
      <x:c r="B52" s="21" t="str">
        <x:v>BC.000.002</x:v>
      </x:c>
      <x:c r="C52" s="57" t="str">
        <x:v>Perfil Base de PHA 50 Metallic HBR50-120 Silver 1/25 PCT5,8m pct46,4f 1kg.= - 06/2019 (hol)</x:v>
      </x:c>
      <x:c r="D52" s="21" t="str">
        <x:v>Silver/Stone/Shadow</x:v>
      </x:c>
      <x:c r="E52" s="24" t="n">
        <x:v>42.61</x:v>
      </x:c>
      <x:c r="F52" s="34" t="n">
        <x:v>3.534</x:v>
      </x:c>
      <x:c r="G52" s="21" t="str">
        <x:v>familia-equivalente</x:v>
      </x:c>
      <x:c r="H52" s="35" t="n">
        <x:f>IFERROR(E52/F52,"")</x:f>
        <x:v>12.057159026598756</x:v>
      </x:c>
      <x:c r="I52" s="17" t="str">
        <x:v>Precificado</x:v>
      </x:c>
    </x:row>
    <x:row r="53">
      <x:c r="A53" s="16" t="n">
        <x:v>53</x:v>
      </x:c>
      <x:c r="B53" s="21" t="str">
        <x:v>BC.000.003</x:v>
      </x:c>
      <x:c r="C53" s="57" t="str">
        <x:v>Perfil Base de PHA 50 Metallic HBR50-140 Oyster 1/25 PCT5,8m pct46,4f 1kg.= (hol)</x:v>
      </x:c>
      <x:c r="D53" s="21" t="str">
        <x:v>Oyster</x:v>
      </x:c>
      <x:c r="E53" s="24" t="n">
        <x:v>44.39</x:v>
      </x:c>
      <x:c r="F53" s="34" t="n">
        <x:v>3.534</x:v>
      </x:c>
      <x:c r="G53" s="21" t="str">
        <x:v>familia-equivalente</x:v>
      </x:c>
      <x:c r="H53" s="35" t="n">
        <x:f>IFERROR(E53/F53,"")</x:f>
        <x:v>12.560837577815507</x:v>
      </x:c>
      <x:c r="I53" s="17" t="str">
        <x:v>Precificado</x:v>
      </x:c>
    </x:row>
    <x:row r="54">
      <x:c r="A54" s="16" t="n">
        <x:v>54</x:v>
      </x:c>
      <x:c r="B54" s="21" t="str">
        <x:v>BC.000.004</x:v>
      </x:c>
      <x:c r="C54" s="57" t="str">
        <x:v>Perfil Base de PHA 50 Metallic HBR50-160 Copper 1/25 PCT5,8m pct46,4f 1kg.= - 06/2019 (hol)</x:v>
      </x:c>
      <x:c r="D54" s="21" t="str">
        <x:v>Copper</x:v>
      </x:c>
      <x:c r="E54" s="24" t="n">
        <x:v>42.94</x:v>
      </x:c>
      <x:c r="F54" s="34" t="n">
        <x:v>3.534</x:v>
      </x:c>
      <x:c r="G54" s="21" t="str">
        <x:v>familia-equivalente</x:v>
      </x:c>
      <x:c r="H54" s="35" t="n">
        <x:f>IFERROR(E54/F54,"")</x:f>
        <x:v>12.150537634408602</x:v>
      </x:c>
      <x:c r="I54" s="17" t="str">
        <x:v>Precificado</x:v>
      </x:c>
    </x:row>
    <x:row r="55">
      <x:c r="A55" s="16" t="n">
        <x:v>55</x:v>
      </x:c>
      <x:c r="B55" s="21" t="str">
        <x:v>BC.000.005</x:v>
      </x:c>
      <x:c r="C55" s="57" t="str">
        <x:v>Perfil Base de PHA 50 Metallic HBR50-190 Stone 1/25 PCT5,8m pct46,4f 1kg.=(hol)</x:v>
      </x:c>
      <x:c r="D55" s="21" t="str">
        <x:v>Silver/Stone/Shadow</x:v>
      </x:c>
      <x:c r="E55" s="24" t="n">
        <x:v>42.61</x:v>
      </x:c>
      <x:c r="F55" s="34" t="n">
        <x:v>3.534</x:v>
      </x:c>
      <x:c r="G55" s="21" t="str">
        <x:v>familia-equivalente</x:v>
      </x:c>
      <x:c r="H55" s="35" t="n">
        <x:f>IFERROR(E55/F55,"")</x:f>
        <x:v>12.057159026598756</x:v>
      </x:c>
      <x:c r="I55" s="17" t="str">
        <x:v>Precificado</x:v>
      </x:c>
    </x:row>
    <x:row r="56">
      <x:c r="A56" s="16" t="n">
        <x:v>56</x:v>
      </x:c>
      <x:c r="B56" s="21" t="str">
        <x:v>BC.000.006</x:v>
      </x:c>
      <x:c r="C56" s="57" t="str">
        <x:v>Perfil Base de PHA 50 Metallic HBR50-200 Shadow PCT5,8m pct46,4f 1kg</x:v>
      </x:c>
      <x:c r="D56" s="21" t="str">
        <x:v>Silver/Stone/Shadow</x:v>
      </x:c>
      <x:c r="E56" s="24" t="n">
        <x:v>42.61</x:v>
      </x:c>
      <x:c r="F56" s="34" t="n">
        <x:v>3.534</x:v>
      </x:c>
      <x:c r="G56" s="21" t="str">
        <x:v>familia-equivalente</x:v>
      </x:c>
      <x:c r="H56" s="35" t="n">
        <x:f>IFERROR(E56/F56,"")</x:f>
        <x:v>12.057159026598756</x:v>
      </x:c>
      <x:c r="I56" s="17" t="str">
        <x:v>Precificado</x:v>
      </x:c>
    </x:row>
    <x:row r="57">
      <x:c r="A57" s="16" t="n">
        <x:v>57</x:v>
      </x:c>
      <x:c r="B57" s="21" t="str">
        <x:v>BC.000.007</x:v>
      </x:c>
      <x:c r="C57" s="57" t="str">
        <x:v>Perfil Base de PHA 50 Metallic HBR50-220 Night 1/25 PCT5,8m pct46,4f 1kg.= - 06/2019 (hol)</x:v>
      </x:c>
      <x:c r="D57" s="21" t="str">
        <x:v>Night</x:v>
      </x:c>
      <x:c r="E57" s="24" t="n">
        <x:v>39.74</x:v>
      </x:c>
      <x:c r="F57" s="34" t="n">
        <x:v>3.534</x:v>
      </x:c>
      <x:c r="G57" s="21" t="str">
        <x:v>familia-equivalente</x:v>
      </x:c>
      <x:c r="H57" s="35" t="n">
        <x:f>IFERROR(E57/F57,"")</x:f>
        <x:v>11.245048104131298</x:v>
      </x:c>
      <x:c r="I57" s="17" t="str">
        <x:v>Precificado</x:v>
      </x:c>
    </x:row>
    <x:row r="58">
      <x:c r="A58" s="16" t="n">
        <x:v>58</x:v>
      </x:c>
      <x:c r="B58" s="21" t="str">
        <x:v>001.008.002.233.50.2</x:v>
      </x:c>
      <x:c r="C58" s="57" t="str">
        <x:v>Perfil Base Diamond 55mm (novaxx5569 exclu) M.TEXTU. Preto {1Kg.=4,929ml} almefe-alpexPCT6M q.a.f.l?, f,</x:v>
      </x:c>
      <x:c r="D58" s="21" t="str">
        <x:v>Preto</x:v>
      </x:c>
      <x:c r="E58" s="24" t="n">
        <x:v>39.74</x:v>
      </x:c>
      <x:c r="F58" s="34" t="n">
        <x:v>4.929</x:v>
      </x:c>
      <x:c r="G58" s="21" t="str">
        <x:v>descricao</x:v>
      </x:c>
      <x:c r="H58" s="35" t="n">
        <x:f>IFERROR(E58/F58,"")</x:f>
        <x:v>8.062487319943193</x:v>
      </x:c>
      <x:c r="I58" s="17" t="str">
        <x:v>Precificado</x:v>
      </x:c>
    </x:row>
    <x:row r="59">
      <x:c r="A59" s="16" t="n">
        <x:v>59</x:v>
      </x:c>
      <x:c r="B59" s="21" t="str">
        <x:v>001.008.001.000.9</x:v>
      </x:c>
      <x:c r="C59" s="57" t="str">
        <x:v>Perfil Base Diamond 55mm .PINTAR ESAF-4200  {1kg.=5,071} ml}a</x:v>
      </x:c>
      <x:c r="D59" s="21" t="str">
        <x:v>Alumínio cru</x:v>
      </x:c>
      <x:c r="E59" s="24" t="n">
        <x:v>34.74</x:v>
      </x:c>
      <x:c r="F59" s="34" t="n">
        <x:v>5.071</x:v>
      </x:c>
      <x:c r="G59" s="21" t="str">
        <x:v>descricao</x:v>
      </x:c>
      <x:c r="H59" s="35" t="n">
        <x:f>IFERROR(E59/F59,"")</x:f>
        <x:v>6.8507197791362655</x:v>
      </x:c>
      <x:c r="I59" s="17" t="str">
        <x:v>Precificado</x:v>
      </x:c>
    </x:row>
    <x:row r="60">
      <x:c r="A60" s="16" t="n">
        <x:v>60</x:v>
      </x:c>
      <x:c r="B60" s="21" t="str">
        <x:v>001.008.002.001.51.</x:v>
      </x:c>
      <x:c r="C60" s="57" t="str">
        <x:v>Perfil Base Diamond 55mm Bege ES4200-6M (B) {1Kg.=4,929l}</x:v>
      </x:c>
      <x:c r="D60" s="21" t="str">
        <x:v>Bege</x:v>
      </x:c>
      <x:c r="E60" s="24" t="n">
        <x:v>44.39</x:v>
      </x:c>
      <x:c r="F60" s="34" t="n">
        <x:v>4.929</x:v>
      </x:c>
      <x:c r="G60" s="21" t="str">
        <x:v>descricao</x:v>
      </x:c>
      <x:c r="H60" s="35" t="n">
        <x:f>IFERROR(E60/F60,"")</x:f>
        <x:v>9.005883546358287</x:v>
      </x:c>
      <x:c r="I60" s="17" t="str">
        <x:v>Precificado</x:v>
      </x:c>
    </x:row>
    <x:row r="61">
      <x:c r="A61" s="16" t="n">
        <x:v>61</x:v>
      </x:c>
      <x:c r="B61" s="21" t="str">
        <x:v>001.008.002.001.50.</x:v>
      </x:c>
      <x:c r="C61" s="57" t="str">
        <x:v>Perfil Base Diamond 55mm Branco ESAF4200-6M (B) {1kg.=4,929ml}</x:v>
      </x:c>
      <x:c r="D61" s="21" t="str">
        <x:v>Branco</x:v>
      </x:c>
      <x:c r="E61" s="24" t="n">
        <x:v>40.57</x:v>
      </x:c>
      <x:c r="F61" s="34" t="n">
        <x:v>4.929</x:v>
      </x:c>
      <x:c r="G61" s="21" t="str">
        <x:v>descricao</x:v>
      </x:c>
      <x:c r="H61" s="35" t="n">
        <x:f>IFERROR(E61/F61,"")</x:f>
        <x:v>8.230878474335565</x:v>
      </x:c>
      <x:c r="I61" s="17" t="str">
        <x:v>Precificado</x:v>
      </x:c>
    </x:row>
    <x:row r="62">
      <x:c r="A62" s="16" t="n">
        <x:v>62</x:v>
      </x:c>
      <x:c r="B62" s="21" t="str">
        <x:v>001.008.002.060.50.2</x:v>
      </x:c>
      <x:c r="C62" s="57" t="str">
        <x:v>Perfil Base Diamond 55mm Bronze ES4200-6M  {1Kg.=4,929ml}</x:v>
      </x:c>
      <x:c r="D62" s="21" t="str">
        <x:v>Bronze</x:v>
      </x:c>
      <x:c r="E62" s="24" t="n">
        <x:v>42.94</x:v>
      </x:c>
      <x:c r="F62" s="34" t="n">
        <x:v>4.929</x:v>
      </x:c>
      <x:c r="G62" s="21" t="str">
        <x:v>descricao</x:v>
      </x:c>
      <x:c r="H62" s="35" t="n">
        <x:f>IFERROR(E62/F62,"")</x:f>
        <x:v>8.711706228443903</x:v>
      </x:c>
      <x:c r="I62" s="17" t="str">
        <x:v>Precificado</x:v>
      </x:c>
    </x:row>
    <x:row r="63">
      <x:c r="A63" s="16" t="n">
        <x:v>63</x:v>
      </x:c>
      <x:c r="B63" s="21" t="str">
        <x:v>001.008.002.001.56.</x:v>
      </x:c>
      <x:c r="C63" s="57" t="str">
        <x:v>Perfil Base Diamond 55mm Cinza ESAF4200-6M {1kg.=4,929}</x:v>
      </x:c>
      <x:c r="D63" s="21" t="str">
        <x:v>Cinza</x:v>
      </x:c>
      <x:c r="E63" s="24" t="n">
        <x:v>42.61</x:v>
      </x:c>
      <x:c r="F63" s="34" t="n">
        <x:v>4.929</x:v>
      </x:c>
      <x:c r="G63" s="21" t="str">
        <x:v>descricao</x:v>
      </x:c>
      <x:c r="H63" s="35" t="n">
        <x:f>IFERROR(E63/F63,"")</x:f>
        <x:v>8.644755528504767</x:v>
      </x:c>
      <x:c r="I63" s="17" t="str">
        <x:v>Precificado</x:v>
      </x:c>
    </x:row>
    <x:row r="64">
      <x:c r="A64" s="16" t="n">
        <x:v>64</x:v>
      </x:c>
      <x:c r="B64" s="21" t="str">
        <x:v>001.008.002.233.50.3</x:v>
      </x:c>
      <x:c r="C64" s="57" t="str">
        <x:v>Perfil Base Diamond 55mm Preto ESAF4200-6M {1Kg.=4,92ml}</x:v>
      </x:c>
      <x:c r="D64" s="21" t="str">
        <x:v>Preto</x:v>
      </x:c>
      <x:c r="E64" s="24" t="n">
        <x:v>39.74</x:v>
      </x:c>
      <x:c r="F64" s="34" t="n">
        <x:v>4.92</x:v>
      </x:c>
      <x:c r="G64" s="21" t="str">
        <x:v>descricao</x:v>
      </x:c>
      <x:c r="H64" s="35" t="n">
        <x:f>IFERROR(E64/F64,"")</x:f>
        <x:v>8.077235772357724</x:v>
      </x:c>
      <x:c r="I64" s="17" t="str">
        <x:v>Precificado</x:v>
      </x:c>
    </x:row>
    <x:row r="65">
      <x:c r="A65" s="16" t="n">
        <x:v>65</x:v>
      </x:c>
      <x:c r="B65" s="21" t="str">
        <x:v>001.008.001.000.5</x:v>
      </x:c>
      <x:c r="C65" s="57" t="str">
        <x:v>Perfil Base Diamond 70mm .PINTAR 5568-6M (1kg.=3,04063) ml}a</x:v>
      </x:c>
      <x:c r="D65" s="21" t="str">
        <x:v>Alumínio cru</x:v>
      </x:c>
      <x:c r="E65" s="24" t="n">
        <x:v>34.74</x:v>
      </x:c>
      <x:c r="F65" s="34" t="n">
        <x:v>3.04063</x:v>
      </x:c>
      <x:c r="G65" s="21" t="str">
        <x:v>descricao</x:v>
      </x:c>
      <x:c r="H65" s="35" t="n">
        <x:f>IFERROR(E65/F65,"")</x:f>
        <x:v>11.425263843348253</x:v>
      </x:c>
      <x:c r="I65" s="17" t="str">
        <x:v>Precificado</x:v>
      </x:c>
    </x:row>
    <x:row r="66">
      <x:c r="A66" s="16" t="n">
        <x:v>66</x:v>
      </x:c>
      <x:c r="B66" s="21" t="str">
        <x:v>001.008.002.001.54.</x:v>
      </x:c>
      <x:c r="C66" s="57" t="str">
        <x:v>Perfil Base Diamond 70mm Bege 5568-6M (B) (1kg.=2,917ml}</x:v>
      </x:c>
      <x:c r="D66" s="21" t="str">
        <x:v>Bege</x:v>
      </x:c>
      <x:c r="E66" s="24" t="n">
        <x:v>44.39</x:v>
      </x:c>
      <x:c r="F66" s="34" t="n">
        <x:v>2.917</x:v>
      </x:c>
      <x:c r="G66" s="21" t="str">
        <x:v>descricao</x:v>
      </x:c>
      <x:c r="H66" s="35" t="n">
        <x:f>IFERROR(E66/F66,"")</x:f>
        <x:v>15.217689406924924</x:v>
      </x:c>
      <x:c r="I66" s="17" t="str">
        <x:v>Precificado</x:v>
      </x:c>
    </x:row>
    <x:row r="67">
      <x:c r="A67" s="16" t="n">
        <x:v>67</x:v>
      </x:c>
      <x:c r="B67" s="21" t="str">
        <x:v>001.008.002.001.53.</x:v>
      </x:c>
      <x:c r="C67" s="57" t="str">
        <x:v>Perfil Base Diamond 70mm Branco 5568-6M (A) (1kg.=2,917ml}</x:v>
      </x:c>
      <x:c r="D67" s="21" t="str">
        <x:v>Branco</x:v>
      </x:c>
      <x:c r="E67" s="24" t="n">
        <x:v>40.57</x:v>
      </x:c>
      <x:c r="F67" s="34" t="n">
        <x:v>2.917</x:v>
      </x:c>
      <x:c r="G67" s="21" t="str">
        <x:v>descricao</x:v>
      </x:c>
      <x:c r="H67" s="35" t="n">
        <x:f>IFERROR(E67/F67,"")</x:f>
        <x:v>13.908124785738774</x:v>
      </x:c>
      <x:c r="I67" s="17" t="str">
        <x:v>Precificado</x:v>
      </x:c>
    </x:row>
    <x:row r="68">
      <x:c r="A68" s="16" t="n">
        <x:v>68</x:v>
      </x:c>
      <x:c r="B68" s="21" t="str">
        <x:v>001.008.001.000.80</x:v>
      </x:c>
      <x:c r="C68" s="57" t="str">
        <x:v>Perfil Base Diamond 70mm Bronze 5568-6M (1kg.=2,917ml}</x:v>
      </x:c>
      <x:c r="D68" s="21" t="str">
        <x:v>Bronze</x:v>
      </x:c>
      <x:c r="E68" s="24" t="n">
        <x:v>42.94</x:v>
      </x:c>
      <x:c r="F68" s="34" t="n">
        <x:v>2.917</x:v>
      </x:c>
      <x:c r="G68" s="21" t="str">
        <x:v>descricao</x:v>
      </x:c>
      <x:c r="H68" s="35" t="n">
        <x:f>IFERROR(E68/F68,"")</x:f>
        <x:v>14.720603359616044</x:v>
      </x:c>
      <x:c r="I68" s="17" t="str">
        <x:v>Precificado</x:v>
      </x:c>
    </x:row>
    <x:row r="69">
      <x:c r="A69" s="16" t="n">
        <x:v>69</x:v>
      </x:c>
      <x:c r="B69" s="21" t="str">
        <x:v>001.008.002.001.57.</x:v>
      </x:c>
      <x:c r="C69" s="57" t="str">
        <x:v>Perfil Base Diamond 70mm Cinza 5568-6M (1kg.=2,917ml)</x:v>
      </x:c>
      <x:c r="D69" s="21" t="str">
        <x:v>Cinza</x:v>
      </x:c>
      <x:c r="E69" s="24" t="n">
        <x:v>42.61</x:v>
      </x:c>
      <x:c r="F69" s="34" t="n">
        <x:v>2.917</x:v>
      </x:c>
      <x:c r="G69" s="21" t="str">
        <x:v>descricao</x:v>
      </x:c>
      <x:c r="H69" s="35" t="n">
        <x:f>IFERROR(E69/F69,"")</x:f>
        <x:v>14.607473431607817</x:v>
      </x:c>
      <x:c r="I69" s="17" t="str">
        <x:v>Precificado</x:v>
      </x:c>
    </x:row>
    <x:row r="70">
      <x:c r="A70" s="16" t="n">
        <x:v>70</x:v>
      </x:c>
      <x:c r="B70" s="21" t="str">
        <x:v>001.008.001.000.70</x:v>
      </x:c>
      <x:c r="C70" s="57" t="str">
        <x:v>Perfil Base Diamond 70mm Preto 5568-6M (1kg.=2,917ml}</x:v>
      </x:c>
      <x:c r="D70" s="21" t="str">
        <x:v>Preto</x:v>
      </x:c>
      <x:c r="E70" s="24" t="n">
        <x:v>39.74</x:v>
      </x:c>
      <x:c r="F70" s="34" t="n">
        <x:v>2.917</x:v>
      </x:c>
      <x:c r="G70" s="21" t="str">
        <x:v>descricao</x:v>
      </x:c>
      <x:c r="H70" s="35" t="n">
        <x:f>IFERROR(E70/F70,"")</x:f>
        <x:v>13.623585875899899</x:v>
      </x:c>
      <x:c r="I70" s="17" t="str">
        <x:v>Precificado</x:v>
      </x:c>
    </x:row>
    <x:row r="71">
      <x:c r="A71" s="16" t="n">
        <x:v>71</x:v>
      </x:c>
      <x:c r="B71" s="21" t="str">
        <x:v>PC.000.0105</x:v>
      </x:c>
      <x:c r="C71" s="57" t="str">
        <x:v>Perfil Base Lat .PINTAR RCA-04/6450-6M (1kg.=5,633m) ml}a</x:v>
      </x:c>
      <x:c r="D71" s="21" t="str">
        <x:v>Alumínio cru</x:v>
      </x:c>
      <x:c r="E71" s="24" t="n">
        <x:v>34.74</x:v>
      </x:c>
      <x:c r="F71" s="34" t="n">
        <x:v>5.633</x:v>
      </x:c>
      <x:c r="G71" s="21" t="str">
        <x:v>descricao</x:v>
      </x:c>
      <x:c r="H71" s="35" t="n">
        <x:f>IFERROR(E71/F71,"")</x:f>
        <x:v>6.167228830108291</x:v>
      </x:c>
      <x:c r="I71" s="17" t="str">
        <x:v>Precificado</x:v>
      </x:c>
    </x:row>
    <x:row r="72">
      <x:c r="A72" s="16" t="n">
        <x:v>72</x:v>
      </x:c>
      <x:c r="B72" s="21" t="str">
        <x:v>PC.000.008</x:v>
      </x:c>
      <x:c r="C72" s="57" t="str">
        <x:v>Perfil Base Lat Branco RCA-04//Alpex6450-6m (1kg.=5,6335m) 6M 01/20</x:v>
      </x:c>
      <x:c r="D72" s="21" t="str">
        <x:v>Branco</x:v>
      </x:c>
      <x:c r="E72" s="24" t="n">
        <x:v>40.57</x:v>
      </x:c>
      <x:c r="F72" s="34" t="n">
        <x:v>5.6335</x:v>
      </x:c>
      <x:c r="G72" s="21" t="str">
        <x:v>descricao</x:v>
      </x:c>
      <x:c r="H72" s="35" t="n">
        <x:f>IFERROR(E72/F72,"")</x:f>
        <x:v>7.201562083962013</x:v>
      </x:c>
      <x:c r="I72" s="17" t="str">
        <x:v>Precificado</x:v>
      </x:c>
    </x:row>
    <x:row r="73">
      <x:c r="A73" s="16" t="n">
        <x:v>73</x:v>
      </x:c>
      <x:c r="B73" s="21" t="str">
        <x:v>PC.000.007</x:v>
      </x:c>
      <x:c r="C73" s="57" t="str">
        <x:v>Perfil Base Lat. Anodizado RCA-04/Alpex6450-6m 1kg.=5,6335m pct6m 1/20 q.a.ss cinza</x:v>
      </x:c>
      <x:c r="D73" s="21" t="str">
        <x:v>Cinza</x:v>
      </x:c>
      <x:c r="E73" s="24" t="n">
        <x:v>42.61</x:v>
      </x:c>
      <x:c r="F73" s="34" t="n">
        <x:v>5.6335</x:v>
      </x:c>
      <x:c r="G73" s="21" t="str">
        <x:v>descricao</x:v>
      </x:c>
      <x:c r="H73" s="35" t="n">
        <x:f>IFERROR(E73/F73,"")</x:f>
        <x:v>7.563681547883199</x:v>
      </x:c>
      <x:c r="I73" s="17" t="str">
        <x:v>Precificado</x:v>
      </x:c>
    </x:row>
    <x:row r="74">
      <x:c r="A74" s="16" t="n">
        <x:v>74</x:v>
      </x:c>
      <x:c r="B74" s="21" t="str">
        <x:v>PC.000.856</x:v>
      </x:c>
      <x:c r="C74" s="57" t="str">
        <x:v>Perfil Base Lat. Cinza RCA-04/Alpex6450-6m. (1kg.=5,6335m)</x:v>
      </x:c>
      <x:c r="D74" s="21" t="str">
        <x:v>Cinza</x:v>
      </x:c>
      <x:c r="E74" s="24" t="n">
        <x:v>42.61</x:v>
      </x:c>
      <x:c r="F74" s="34" t="n">
        <x:v>5.6335</x:v>
      </x:c>
      <x:c r="G74" s="21" t="str">
        <x:v>descricao</x:v>
      </x:c>
      <x:c r="H74" s="35" t="n">
        <x:f>IFERROR(E74/F74,"")</x:f>
        <x:v>7.563681547883199</x:v>
      </x:c>
      <x:c r="I74" s="17" t="str">
        <x:v>Precificado</x:v>
      </x:c>
    </x:row>
    <x:row r="75">
      <x:c r="A75" s="16" t="n">
        <x:v>75</x:v>
      </x:c>
      <x:c r="B75" s="21" t="str">
        <x:v>PC.000.0107</x:v>
      </x:c>
      <x:c r="C75" s="57" t="str">
        <x:v>Perfil Base Quadrada Sist. L ABS .PINTAR 6442/TMR-4280-6M {1kg.=2,641207m} b.. ml}a</x:v>
      </x:c>
      <x:c r="D75" s="21" t="str">
        <x:v>Alumínio cru</x:v>
      </x:c>
      <x:c r="E75" s="24" t="n">
        <x:v>34.74</x:v>
      </x:c>
      <x:c r="F75" s="34" t="n">
        <x:v>2.641207</x:v>
      </x:c>
      <x:c r="G75" s="21" t="str">
        <x:v>descricao</x:v>
      </x:c>
      <x:c r="H75" s="35" t="n">
        <x:f>IFERROR(E75/F75,"")</x:f>
        <x:v>13.153077361978823</x:v>
      </x:c>
      <x:c r="I75" s="17" t="str">
        <x:v>Precificado</x:v>
      </x:c>
    </x:row>
    <x:row r="76">
      <x:c r="A76" s="16" t="n">
        <x:v>76</x:v>
      </x:c>
      <x:c r="B76" s="21" t="str">
        <x:v>PC.000.641</x:v>
      </x:c>
      <x:c r="C76" s="57" t="str">
        <x:v>Perfil Base Quadrada Sist. L ABS Bege 6442/TMR-4280-6M (A) (1kg.=2,609)</x:v>
      </x:c>
      <x:c r="D76" s="21" t="str">
        <x:v>Bege</x:v>
      </x:c>
      <x:c r="E76" s="24" t="n">
        <x:v>44.39</x:v>
      </x:c>
      <x:c r="F76" s="34" t="n">
        <x:v>2.609</x:v>
      </x:c>
      <x:c r="G76" s="21" t="str">
        <x:v>descricao</x:v>
      </x:c>
      <x:c r="H76" s="35" t="n">
        <x:f>IFERROR(E76/F76,"")</x:f>
        <x:v>17.01418167880414</x:v>
      </x:c>
      <x:c r="I76" s="17" t="str">
        <x:v>Precificado</x:v>
      </x:c>
    </x:row>
    <x:row r="77">
      <x:c r="A77" s="16" t="n">
        <x:v>77</x:v>
      </x:c>
      <x:c r="B77" s="21" t="str">
        <x:v>PC.000.640</x:v>
      </x:c>
      <x:c r="C77" s="57" t="str">
        <x:v>Perfil Base Quadrada Sist. L ABS Branco 6442/TMR-4280-6M (A) (1kg.=2,609)</x:v>
      </x:c>
      <x:c r="D77" s="21" t="str">
        <x:v>Branco</x:v>
      </x:c>
      <x:c r="E77" s="24" t="n">
        <x:v>40.57</x:v>
      </x:c>
      <x:c r="F77" s="34" t="n">
        <x:v>2.609</x:v>
      </x:c>
      <x:c r="G77" s="21" t="str">
        <x:v>descricao</x:v>
      </x:c>
      <x:c r="H77" s="35" t="n">
        <x:f>IFERROR(E77/F77,"")</x:f>
        <x:v>15.550019164430816</x:v>
      </x:c>
      <x:c r="I77" s="17" t="str">
        <x:v>Precificado</x:v>
      </x:c>
    </x:row>
    <x:row r="78">
      <x:c r="A78" s="16" t="n">
        <x:v>78</x:v>
      </x:c>
      <x:c r="B78" s="21" t="str">
        <x:v>PC.000.643</x:v>
      </x:c>
      <x:c r="C78" s="57" t="str">
        <x:v>Perfil Base Quadrada Sist. L ABS Bronze 6442/TMR-4280-6M (1kg.= 2,609</x:v>
      </x:c>
      <x:c r="D78" s="21" t="str">
        <x:v>Bronze</x:v>
      </x:c>
      <x:c r="E78" s="24" t="n">
        <x:v>42.94</x:v>
      </x:c>
      <x:c r="F78" s="34" t="n">
        <x:v>2.609</x:v>
      </x:c>
      <x:c r="G78" s="21" t="str">
        <x:v>descricao</x:v>
      </x:c>
      <x:c r="H78" s="35" t="n">
        <x:f>IFERROR(E78/F78,"")</x:f>
        <x:v>16.4584131851284</x:v>
      </x:c>
      <x:c r="I78" s="17" t="str">
        <x:v>Precificado</x:v>
      </x:c>
    </x:row>
    <x:row r="79">
      <x:c r="A79" s="16" t="n">
        <x:v>79</x:v>
      </x:c>
      <x:c r="B79" s="21" t="str">
        <x:v>PC.000.858</x:v>
      </x:c>
      <x:c r="C79" s="57" t="str">
        <x:v>Perfil Base Quadrada Sist. L ABS Cinza 6442/TMR-4280-6M (B) (1kg.=2,609)</x:v>
      </x:c>
      <x:c r="D79" s="21" t="str">
        <x:v>Cinza</x:v>
      </x:c>
      <x:c r="E79" s="24" t="n">
        <x:v>42.61</x:v>
      </x:c>
      <x:c r="F79" s="34" t="n">
        <x:v>2.609</x:v>
      </x:c>
      <x:c r="G79" s="21" t="str">
        <x:v>descricao</x:v>
      </x:c>
      <x:c r="H79" s="35" t="n">
        <x:f>IFERROR(E79/F79,"")</x:f>
        <x:v>16.33192794174013</x:v>
      </x:c>
      <x:c r="I79" s="17" t="str">
        <x:v>Precificado</x:v>
      </x:c>
    </x:row>
    <x:row r="80">
      <x:c r="A80" s="16" t="n">
        <x:v>80</x:v>
      </x:c>
      <x:c r="B80" s="21" t="str">
        <x:v>PC.000.644</x:v>
      </x:c>
      <x:c r="C80" s="57" t="str">
        <x:v>Perfil Base Quadrada Sist. L ABS Grafite 6442/TMR-4280-6M (B) (1kg.=2,609m)</x:v>
      </x:c>
      <x:c r="D80" s="21" t="str">
        <x:v>Grafite</x:v>
      </x:c>
      <x:c r="E80" s="24" t="n">
        <x:v>41.980000000000004</x:v>
      </x:c>
      <x:c r="F80" s="34" t="n">
        <x:v>2.609</x:v>
      </x:c>
      <x:c r="G80" s="21" t="str">
        <x:v>descricao</x:v>
      </x:c>
      <x:c r="H80" s="35" t="n">
        <x:f>IFERROR(E80/F80,"")</x:f>
        <x:v>16.09045611345343</x:v>
      </x:c>
      <x:c r="I80" s="17" t="str">
        <x:v>Precificado</x:v>
      </x:c>
    </x:row>
    <x:row r="81">
      <x:c r="A81" s="16" t="n">
        <x:v>81</x:v>
      </x:c>
      <x:c r="B81" s="21" t="str">
        <x:v>PC.000.642</x:v>
      </x:c>
      <x:c r="C81" s="57" t="str">
        <x:v>Perfil Base Quadrada Sist. L ABS Preto 6442/TMR-4280-6M (B) (1kg.=2,609)</x:v>
      </x:c>
      <x:c r="D81" s="21" t="str">
        <x:v>Preto</x:v>
      </x:c>
      <x:c r="E81" s="24" t="n">
        <x:v>39.74</x:v>
      </x:c>
      <x:c r="F81" s="34" t="n">
        <x:v>2.609</x:v>
      </x:c>
      <x:c r="G81" s="21" t="str">
        <x:v>descricao</x:v>
      </x:c>
      <x:c r="H81" s="35" t="n">
        <x:f>IFERROR(E81/F81,"")</x:f>
        <x:v>15.231889612878499</x:v>
      </x:c>
      <x:c r="I81" s="17" t="str">
        <x:v>Precificado</x:v>
      </x:c>
    </x:row>
    <x:row r="82">
      <x:c r="A82" s="16" t="n">
        <x:v>82</x:v>
      </x:c>
      <x:c r="B82" s="21" t="str">
        <x:v>001.008.002.000.4</x:v>
      </x:c>
      <x:c r="C82" s="57" t="str">
        <x:v>Perfil Base Redonda .PINTAR 1327-6  (1.kg.=4,5706ml}a__, quando gerar ne. ver edu</x:v>
      </x:c>
      <x:c r="D82" s="21" t="str">
        <x:v>Alumínio cru</x:v>
      </x:c>
      <x:c r="E82" s="24" t="n">
        <x:v>34.74</x:v>
      </x:c>
      <x:c r="F82" s="34" t="n">
        <x:v>4.5706</x:v>
      </x:c>
      <x:c r="G82" s="21" t="str">
        <x:v>descricao</x:v>
      </x:c>
      <x:c r="H82" s="35" t="n">
        <x:f>IFERROR(E82/F82,"")</x:f>
        <x:v>7.6007526364153515</x:v>
      </x:c>
      <x:c r="I82" s="17" t="str">
        <x:v>Precificado</x:v>
      </x:c>
    </x:row>
    <x:row r="83">
      <x:c r="A83" s="16" t="n">
        <x:v>83</x:v>
      </x:c>
      <x:c r="B83" s="21" t="str">
        <x:v>001.008.002.001.4</x:v>
      </x:c>
      <x:c r="C83" s="57" t="str">
        <x:v>Perfil Base Redonda.TEXTU. Branco Alpex1327-6m  {1Kg.=4,5706ml}  Q.A.P.LISO</x:v>
      </x:c>
      <x:c r="D83" s="21" t="str">
        <x:v>Branco</x:v>
      </x:c>
      <x:c r="E83" s="24" t="n">
        <x:v>40.57</x:v>
      </x:c>
      <x:c r="F83" s="34" t="n">
        <x:v>4.5706</x:v>
      </x:c>
      <x:c r="G83" s="21" t="str">
        <x:v>descricao</x:v>
      </x:c>
      <x:c r="H83" s="35" t="n">
        <x:f>IFERROR(E83/F83,"")</x:f>
        <x:v>8.876296328709579</x:v>
      </x:c>
      <x:c r="I83" s="17" t="str">
        <x:v>Precificado</x:v>
      </x:c>
    </x:row>
    <x:row r="84">
      <x:c r="A84" s="16" t="n">
        <x:v>84</x:v>
      </x:c>
      <x:c r="B84" s="21" t="str">
        <x:v>PE.000.008</x:v>
      </x:c>
      <x:c r="C84" s="57" t="str">
        <x:v>Perfil Base Retang. Abs2.0 Sist. S/M .PINTAR ES-3983-6m  (1kg.= 3,41297m)</x:v>
      </x:c>
      <x:c r="D84" s="21" t="str">
        <x:v>Alumínio cru</x:v>
      </x:c>
      <x:c r="E84" s="24" t="n">
        <x:v>34.74</x:v>
      </x:c>
      <x:c r="F84" s="34" t="n">
        <x:v>3.41297</x:v>
      </x:c>
      <x:c r="G84" s="21" t="str">
        <x:v>descricao</x:v>
      </x:c>
      <x:c r="H84" s="35" t="n">
        <x:f>IFERROR(E84/F84,"")</x:f>
        <x:v>10.17881786244825</x:v>
      </x:c>
      <x:c r="I84" s="17" t="str">
        <x:v>Precificado</x:v>
      </x:c>
    </x:row>
    <x:row r="85">
      <x:c r="A85" s="16" t="n">
        <x:v>85</x:v>
      </x:c>
      <x:c r="B85" s="21" t="str">
        <x:v>PE.000.001</x:v>
      </x:c>
      <x:c r="C85" s="57" t="str">
        <x:v>Perfil Base Retang. Abs2.0 Sist. S/M Anodizado ESAF-3983-6m (A) (1kg.=3,413ml)  q.a.ss cinza</x:v>
      </x:c>
      <x:c r="D85" s="21" t="str">
        <x:v>Cinza</x:v>
      </x:c>
      <x:c r="E85" s="24" t="n">
        <x:v>42.61</x:v>
      </x:c>
      <x:c r="F85" s="34" t="n">
        <x:v>3.413</x:v>
      </x:c>
      <x:c r="G85" s="21" t="str">
        <x:v>descricao</x:v>
      </x:c>
      <x:c r="H85" s="35" t="n">
        <x:f>IFERROR(E85/F85,"")</x:f>
        <x:v>12.484617638441254</x:v>
      </x:c>
      <x:c r="I85" s="17" t="str">
        <x:v>Precificado</x:v>
      </x:c>
    </x:row>
    <x:row r="86">
      <x:c r="A86" s="16" t="n">
        <x:v>86</x:v>
      </x:c>
      <x:c r="B86" s="21" t="str">
        <x:v>PE.000.002</x:v>
      </x:c>
      <x:c r="C86" s="57" t="str">
        <x:v>Perfil Base Retang. Abs2.0 Sist. S/M Bege ES-3983-6m (A) (1kg.=3,871ml)</x:v>
      </x:c>
      <x:c r="D86" s="21" t="str">
        <x:v>Bege</x:v>
      </x:c>
      <x:c r="E86" s="24" t="n">
        <x:v>44.39</x:v>
      </x:c>
      <x:c r="F86" s="34" t="n">
        <x:v>3.871</x:v>
      </x:c>
      <x:c r="G86" s="21" t="str">
        <x:v>descricao</x:v>
      </x:c>
      <x:c r="H86" s="35" t="n">
        <x:f>IFERROR(E86/F86,"")</x:f>
        <x:v>11.467321105657453</x:v>
      </x:c>
      <x:c r="I86" s="17" t="str">
        <x:v>Precificado</x:v>
      </x:c>
    </x:row>
    <x:row r="87">
      <x:c r="A87" s="16" t="n">
        <x:v>87</x:v>
      </x:c>
      <x:c r="B87" s="21" t="str">
        <x:v>PE.000.003</x:v>
      </x:c>
      <x:c r="C87" s="57" t="str">
        <x:v>Perfil Base Retang. Abs2.0 Sist. S/M Branco ESAF-3983-6m (A) (1kg.=3,41297ml)</x:v>
      </x:c>
      <x:c r="D87" s="21" t="str">
        <x:v>Branco</x:v>
      </x:c>
      <x:c r="E87" s="24" t="n">
        <x:v>40.57</x:v>
      </x:c>
      <x:c r="F87" s="34" t="n">
        <x:v>3.41297</x:v>
      </x:c>
      <x:c r="G87" s="21" t="str">
        <x:v>descricao</x:v>
      </x:c>
      <x:c r="H87" s="35" t="n">
        <x:f>IFERROR(E87/F87,"")</x:f>
        <x:v>11.887007503728425</x:v>
      </x:c>
      <x:c r="I87" s="17" t="str">
        <x:v>Precificado</x:v>
      </x:c>
    </x:row>
    <x:row r="88">
      <x:c r="A88" s="16" t="n">
        <x:v>88</x:v>
      </x:c>
      <x:c r="B88" s="21" t="str">
        <x:v>PE.000.004</x:v>
      </x:c>
      <x:c r="C88" s="57" t="str">
        <x:v>Perfil Base Retang. Abs2.0 Sist. S/M Bronze ES3983-6m (B) (1kg.=3,871ml)</x:v>
      </x:c>
      <x:c r="D88" s="21" t="str">
        <x:v>Bronze</x:v>
      </x:c>
      <x:c r="E88" s="24" t="n">
        <x:v>42.94</x:v>
      </x:c>
      <x:c r="F88" s="34" t="n">
        <x:v>3.871</x:v>
      </x:c>
      <x:c r="G88" s="21" t="str">
        <x:v>descricao</x:v>
      </x:c>
      <x:c r="H88" s="35" t="n">
        <x:f>IFERROR(E88/F88,"")</x:f>
        <x:v>11.092740893825884</x:v>
      </x:c>
      <x:c r="I88" s="17" t="str">
        <x:v>Precificado</x:v>
      </x:c>
    </x:row>
    <x:row r="89">
      <x:c r="A89" s="16" t="n">
        <x:v>89</x:v>
      </x:c>
      <x:c r="B89" s="21" t="str">
        <x:v>PE.000.005</x:v>
      </x:c>
      <x:c r="C89" s="57" t="str">
        <x:v>Perfil Base Retang. Abs2.0 Sist. S/M Cinza ESAF-3983-6m (A) (1kg.=3,41297ml)</x:v>
      </x:c>
      <x:c r="D89" s="21" t="str">
        <x:v>Cinza</x:v>
      </x:c>
      <x:c r="E89" s="24" t="n">
        <x:v>42.61</x:v>
      </x:c>
      <x:c r="F89" s="34" t="n">
        <x:v>3.41297</x:v>
      </x:c>
      <x:c r="G89" s="21" t="str">
        <x:v>descricao</x:v>
      </x:c>
      <x:c r="H89" s="35" t="n">
        <x:f>IFERROR(E89/F89,"")</x:f>
        <x:v>12.48472737820725</x:v>
      </x:c>
      <x:c r="I89" s="17" t="str">
        <x:v>Precificado</x:v>
      </x:c>
    </x:row>
    <x:row r="90">
      <x:c r="A90" s="16" t="n">
        <x:v>90</x:v>
      </x:c>
      <x:c r="B90" s="21" t="str">
        <x:v>PE.000.006</x:v>
      </x:c>
      <x:c r="C90" s="57" t="str">
        <x:v>Perfil Base Retang. Abs2.0 Sist. S/M Grafite ES-3983-6m (B) (1kg.=3,871ml)</x:v>
      </x:c>
      <x:c r="D90" s="21" t="str">
        <x:v>Grafite</x:v>
      </x:c>
      <x:c r="E90" s="24" t="n">
        <x:v>41.980000000000004</x:v>
      </x:c>
      <x:c r="F90" s="34" t="n">
        <x:v>3.871</x:v>
      </x:c>
      <x:c r="G90" s="21" t="str">
        <x:v>descricao</x:v>
      </x:c>
      <x:c r="H90" s="35" t="n">
        <x:f>IFERROR(E90/F90,"")</x:f>
        <x:v>10.84474296047533</x:v>
      </x:c>
      <x:c r="I90" s="17" t="str">
        <x:v>Precificado</x:v>
      </x:c>
    </x:row>
    <x:row r="91">
      <x:c r="A91" s="16" t="n">
        <x:v>91</x:v>
      </x:c>
      <x:c r="B91" s="21" t="str">
        <x:v>PE.000.007</x:v>
      </x:c>
      <x:c r="C91" s="57" t="str">
        <x:v>Perfil Base Retang. Abs2.0 Sist. S/M Preto ESAF-3983-6m (A) (1kg.=3,41297ml)</x:v>
      </x:c>
      <x:c r="D91" s="21" t="str">
        <x:v>Preto</x:v>
      </x:c>
      <x:c r="E91" s="24" t="n">
        <x:v>39.74</x:v>
      </x:c>
      <x:c r="F91" s="34" t="n">
        <x:v>3.41297</x:v>
      </x:c>
      <x:c r="G91" s="21" t="str">
        <x:v>descricao</x:v>
      </x:c>
      <x:c r="H91" s="35" t="n">
        <x:f>IFERROR(E91/F91,"")</x:f>
        <x:v>11.643817554798314</x:v>
      </x:c>
      <x:c r="I91" s="17" t="str">
        <x:v>Precificado</x:v>
      </x:c>
    </x:row>
    <x:row r="92">
      <x:c r="A92" s="16" t="n">
        <x:v>92</x:v>
      </x:c>
      <x:c r="B92" s="21" t="str">
        <x:v>PC.000.012</x:v>
      </x:c>
      <x:c r="C92" s="57" t="str">
        <x:v>Perfil Base Retangular Rollo (RC3032) ABS Bronze bz 1kg.=2,27m  PCT58 5,8m1/20 b..q.a.f.l</x:v>
      </x:c>
      <x:c r="D92" s="21" t="str">
        <x:v>Bronze</x:v>
      </x:c>
      <x:c r="E92" s="24" t="n">
        <x:v>42.94</x:v>
      </x:c>
      <x:c r="F92" s="34" t="n">
        <x:v>2.27</x:v>
      </x:c>
      <x:c r="G92" s="21" t="str">
        <x:v>descricao</x:v>
      </x:c>
      <x:c r="H92" s="35" t="n">
        <x:f>IFERROR(E92/F92,"")</x:f>
        <x:v>18.916299559471366</x:v>
      </x:c>
      <x:c r="I92" s="17" t="str">
        <x:v>Precificado</x:v>
      </x:c>
    </x:row>
    <x:row r="93">
      <x:c r="A93" s="16" t="n">
        <x:v>93</x:v>
      </x:c>
      <x:c r="B93" s="21" t="str">
        <x:v>001.008.003.000.3</x:v>
      </x:c>
      <x:c r="C93" s="57" t="str">
        <x:v>Perfil Base Sky Windows Standard  .PINTAR 2357-6m {1kg.=5,108ml}a bc915559    bz915560   pt915561</x:v>
      </x:c>
      <x:c r="D93" s="21" t="str">
        <x:v>Alumínio cru</x:v>
      </x:c>
      <x:c r="E93" s="24" t="n">
        <x:v>34.74</x:v>
      </x:c>
      <x:c r="F93" s="34" t="n">
        <x:v>5.108</x:v>
      </x:c>
      <x:c r="G93" s="21" t="str">
        <x:v>descricao</x:v>
      </x:c>
      <x:c r="H93" s="35" t="n">
        <x:f>IFERROR(E93/F93,"")</x:f>
        <x:v>6.801096319498826</x:v>
      </x:c>
      <x:c r="I93" s="17" t="str">
        <x:v>Precificado</x:v>
      </x:c>
    </x:row>
    <x:row r="94">
      <x:c r="A94" s="16" t="n">
        <x:v>94</x:v>
      </x:c>
      <x:c r="B94" s="21" t="str">
        <x:v>001.008.003.001.11</x:v>
      </x:c>
      <x:c r="C94" s="57" t="str">
        <x:v>Perfil Base Sky Windows Standard Branco 2357-6m {1Kg.=5,037ml} (B) PCT60M</x:v>
      </x:c>
      <x:c r="D94" s="21" t="str">
        <x:v>Branco</x:v>
      </x:c>
      <x:c r="E94" s="24" t="n">
        <x:v>40.57</x:v>
      </x:c>
      <x:c r="F94" s="34" t="n">
        <x:v>5.037</x:v>
      </x:c>
      <x:c r="G94" s="21" t="str">
        <x:v>descricao</x:v>
      </x:c>
      <x:c r="H94" s="35" t="n">
        <x:f>IFERROR(E94/F94,"")</x:f>
        <x:v>8.054397458804845</x:v>
      </x:c>
      <x:c r="I94" s="17" t="str">
        <x:v>Precificado</x:v>
      </x:c>
    </x:row>
    <x:row r="95">
      <x:c r="A95" s="16" t="n">
        <x:v>95</x:v>
      </x:c>
      <x:c r="B95" s="21" t="str">
        <x:v>001.008.003.001.21</x:v>
      </x:c>
      <x:c r="C95" s="57" t="str">
        <x:v>Perfil Base Sky Windows Standard Bronze 2357-6m{1Kg.=5,037ml}</x:v>
      </x:c>
      <x:c r="D95" s="21" t="str">
        <x:v>Bronze</x:v>
      </x:c>
      <x:c r="E95" s="24" t="n">
        <x:v>42.94</x:v>
      </x:c>
      <x:c r="F95" s="34" t="n">
        <x:v>5.037</x:v>
      </x:c>
      <x:c r="G95" s="21" t="str">
        <x:v>descricao</x:v>
      </x:c>
      <x:c r="H95" s="35" t="n">
        <x:f>IFERROR(E95/F95,"")</x:f>
        <x:v>8.52491562437959</x:v>
      </x:c>
      <x:c r="I95" s="17" t="str">
        <x:v>Precificado</x:v>
      </x:c>
    </x:row>
    <x:row r="96">
      <x:c r="A96" s="16" t="n">
        <x:v>96</x:v>
      </x:c>
      <x:c r="B96" s="21" t="str">
        <x:v>001.008.003.001.22</x:v>
      </x:c>
      <x:c r="C96" s="57" t="str">
        <x:v>Perfil Base Sky Windows Standard Preto 2357-6mt (B) {1Kg.=5,037ml}</x:v>
      </x:c>
      <x:c r="D96" s="21" t="str">
        <x:v>Preto</x:v>
      </x:c>
      <x:c r="E96" s="24" t="n">
        <x:v>39.74</x:v>
      </x:c>
      <x:c r="F96" s="34" t="n">
        <x:v>5.037</x:v>
      </x:c>
      <x:c r="G96" s="21" t="str">
        <x:v>descricao</x:v>
      </x:c>
      <x:c r="H96" s="35" t="n">
        <x:f>IFERROR(E96/F96,"")</x:f>
        <x:v>7.889616835417908</x:v>
      </x:c>
      <x:c r="I96" s="17" t="str">
        <x:v>Precificado</x:v>
      </x:c>
    </x:row>
    <x:row r="97">
      <x:c r="A97" s="16" t="n">
        <x:v>97</x:v>
      </x:c>
      <x:c r="B97" s="21" t="str">
        <x:v>1008004229</x:v>
      </x:c>
      <x:c r="C97" s="57" t="str">
        <x:v>Perfil Cabecote da PH 50 Taupe {1Kg.=1,701m}</x:v>
      </x:c>
      <x:c r="D97" s="21" t="str">
        <x:v>Alumínio cru</x:v>
      </x:c>
      <x:c r="E97" s="24" t="n">
        <x:v>34.74</x:v>
      </x:c>
      <x:c r="F97" s="34" t="n">
        <x:v>1.701</x:v>
      </x:c>
      <x:c r="G97" s="21" t="str">
        <x:v>descricao</x:v>
      </x:c>
      <x:c r="H97" s="35" t="n">
        <x:f>IFERROR(E97/F97,"")</x:f>
        <x:v>20.423280423280424</x:v>
      </x:c>
      <x:c r="I97" s="17" t="str">
        <x:v>Precificado</x:v>
      </x:c>
    </x:row>
    <x:row r="98">
      <x:c r="A98" s="16" t="n">
        <x:v>98</x:v>
      </x:c>
      <x:c r="B98" s="21" t="str">
        <x:v>001.008.004.301.3</x:v>
      </x:c>
      <x:c r="C98" s="57" t="str">
        <x:v>Perfil Cabecote de PH 50 Cor 301*aço* (TAN) F0544 1kg.=</x:v>
      </x:c>
      <x:c r="D98" s="21" t="str">
        <x:v>Código de cor</x:v>
      </x:c>
      <x:c r="E98" s="24" t="n">
        <x:v>20</x:v>
      </x:c>
      <x:c r="F98" s="34" t="n">
        <x:v>1.701</x:v>
      </x:c>
      <x:c r="G98" s="21" t="str">
        <x:v>familia-equivalente</x:v>
      </x:c>
      <x:c r="H98" s="35" t="n">
        <x:f>IFERROR(E98/F98,"")</x:f>
        <x:v>11.757789535567312</x:v>
      </x:c>
      <x:c r="I98" s="17" t="str">
        <x:v>Precificado</x:v>
      </x:c>
    </x:row>
    <x:row r="99">
      <x:c r="A99" s="16" t="n">
        <x:v>99</x:v>
      </x:c>
      <x:c r="B99" s="21" t="str">
        <x:v>001.008.004.009.1</x:v>
      </x:c>
      <x:c r="C99" s="57" t="str">
        <x:v>Perfil Cabecote de PHA 25/16 Cor 009  PCT4,9 cx88,2 1kg.= (Q.A.F.L.)</x:v>
      </x:c>
      <x:c r="D99" s="21" t="str">
        <x:v>Código de cor</x:v>
      </x:c>
      <x:c r="E99" s="24" t="n">
        <x:v>20</x:v>
      </x:c>
      <x:c r="F99" s="34"/>
      <x:c r="G99" s="21" t="str">
        <x:v>sem-fator</x:v>
      </x:c>
      <x:c r="H99" s="35" t="str">
        <x:f>IFERROR(E99/F99,"")</x:f>
      </x:c>
      <x:c r="I99" s="17" t="str">
        <x:v>Pendente</x:v>
      </x:c>
    </x:row>
    <x:row r="100">
      <x:c r="A100" s="16" t="n">
        <x:v>100</x:v>
      </x:c>
      <x:c r="B100" s="21" t="str">
        <x:v>001.008.004.020.1</x:v>
      </x:c>
      <x:c r="C100" s="57" t="str">
        <x:v>Perfil Cabeçote de PHA 25/16 Cor 020 PCT4,9 cx88,2 1kg.= (Q.A.F.L.)</x:v>
      </x:c>
      <x:c r="D100" s="21" t="str">
        <x:v>Código de cor</x:v>
      </x:c>
      <x:c r="E100" s="24" t="n">
        <x:v>20</x:v>
      </x:c>
      <x:c r="F100" s="34"/>
      <x:c r="G100" s="21" t="str">
        <x:v>sem-fator</x:v>
      </x:c>
      <x:c r="H100" s="35" t="str">
        <x:f>IFERROR(E100/F100,"")</x:f>
      </x:c>
      <x:c r="I100" s="17" t="str">
        <x:v>Pendente</x:v>
      </x:c>
    </x:row>
    <x:row r="101">
      <x:c r="A101" s="16" t="n">
        <x:v>101</x:v>
      </x:c>
      <x:c r="B101" s="21" t="str">
        <x:v>001.008.004.034.1</x:v>
      </x:c>
      <x:c r="C101" s="57" t="str">
        <x:v>Perfil Cabeçote de PHA 25/16 Cor 034 4,9m PCT88,2 1kg.= (Q.A.F.L.)</x:v>
      </x:c>
      <x:c r="D101" s="21" t="str">
        <x:v>Código de cor</x:v>
      </x:c>
      <x:c r="E101" s="24" t="n">
        <x:v>20</x:v>
      </x:c>
      <x:c r="F101" s="34"/>
      <x:c r="G101" s="21" t="str">
        <x:v>sem-fator</x:v>
      </x:c>
      <x:c r="H101" s="35" t="str">
        <x:f>IFERROR(E101/F101,"")</x:f>
      </x:c>
      <x:c r="I101" s="17" t="str">
        <x:v>Pendente</x:v>
      </x:c>
    </x:row>
    <x:row r="102">
      <x:c r="A102" s="16" t="n">
        <x:v>102</x:v>
      </x:c>
      <x:c r="B102" s="21" t="str">
        <x:v>001.008.004.057.1</x:v>
      </x:c>
      <x:c r="C102" s="57" t="str">
        <x:v>Perfil Cabeçote de PHA 25/16 Cor 057 PCT4,9 cx88,2 1kg.= F0583 (Q.A.F.L.)</x:v>
      </x:c>
      <x:c r="D102" s="21" t="str">
        <x:v>Código de cor</x:v>
      </x:c>
      <x:c r="E102" s="24" t="n">
        <x:v>20</x:v>
      </x:c>
      <x:c r="F102" s="34"/>
      <x:c r="G102" s="21" t="str">
        <x:v>sem-fator</x:v>
      </x:c>
      <x:c r="H102" s="35" t="str">
        <x:f>IFERROR(E102/F102,"")</x:f>
      </x:c>
      <x:c r="I102" s="17" t="str">
        <x:v>Pendente</x:v>
      </x:c>
    </x:row>
    <x:row r="103">
      <x:c r="A103" s="16" t="n">
        <x:v>103</x:v>
      </x:c>
      <x:c r="B103" s="21" t="str">
        <x:v>001.008.004.060.1</x:v>
      </x:c>
      <x:c r="C103" s="57" t="str">
        <x:v>Perfil Cabeçote de PHA 25/16 Cor 060 PCT4,9 cx88,2 1kg.= (Q.A.F.L.)</x:v>
      </x:c>
      <x:c r="D103" s="21" t="str">
        <x:v>Código de cor</x:v>
      </x:c>
      <x:c r="E103" s="24" t="n">
        <x:v>20</x:v>
      </x:c>
      <x:c r="F103" s="34"/>
      <x:c r="G103" s="21" t="str">
        <x:v>sem-fator</x:v>
      </x:c>
      <x:c r="H103" s="35" t="str">
        <x:f>IFERROR(E103/F103,"")</x:f>
      </x:c>
      <x:c r="I103" s="17" t="str">
        <x:v>Pendente</x:v>
      </x:c>
    </x:row>
    <x:row r="104">
      <x:c r="A104" s="16" t="n">
        <x:v>104</x:v>
      </x:c>
      <x:c r="B104" s="21" t="str">
        <x:v>001.008.004.061.1</x:v>
      </x:c>
      <x:c r="C104" s="57" t="str">
        <x:v>Perfil Cabecote de PHA 25/16 Cor 061 PCT4,9 cx88,2 1kg.= (Q.A.F.L.)</x:v>
      </x:c>
      <x:c r="D104" s="21" t="str">
        <x:v>Código de cor</x:v>
      </x:c>
      <x:c r="E104" s="24" t="n">
        <x:v>20</x:v>
      </x:c>
      <x:c r="F104" s="34"/>
      <x:c r="G104" s="21" t="str">
        <x:v>sem-fator</x:v>
      </x:c>
      <x:c r="H104" s="35" t="str">
        <x:f>IFERROR(E104/F104,"")</x:f>
      </x:c>
      <x:c r="I104" s="17" t="str">
        <x:v>Pendente</x:v>
      </x:c>
    </x:row>
    <x:row r="105">
      <x:c r="A105" s="16" t="n">
        <x:v>105</x:v>
      </x:c>
      <x:c r="B105" s="21" t="str">
        <x:v>001.008.004.108.1</x:v>
      </x:c>
      <x:c r="C105" s="57" t="str">
        <x:v>Perfil Cabecote de PHA 25/16 Cor 108  4,9m PCT88,2 1kg.= (Q.A.F.L.)</x:v>
      </x:c>
      <x:c r="D105" s="21" t="str">
        <x:v>Código de cor</x:v>
      </x:c>
      <x:c r="E105" s="24" t="n">
        <x:v>20</x:v>
      </x:c>
      <x:c r="F105" s="34"/>
      <x:c r="G105" s="21" t="str">
        <x:v>sem-fator</x:v>
      </x:c>
      <x:c r="H105" s="35" t="str">
        <x:f>IFERROR(E105/F105,"")</x:f>
      </x:c>
      <x:c r="I105" s="17" t="str">
        <x:v>Pendente</x:v>
      </x:c>
    </x:row>
    <x:row r="106">
      <x:c r="A106" s="16" t="n">
        <x:v>106</x:v>
      </x:c>
      <x:c r="B106" s="21" t="str">
        <x:v>001.008.004.233.1</x:v>
      </x:c>
      <x:c r="C106" s="57" t="str">
        <x:v>Perfil Cabeçote de PHA 25/16 Cor 233 4,9m PCT88,2 1kg.= (Q.A.F.L.)</x:v>
      </x:c>
      <x:c r="D106" s="21" t="str">
        <x:v>Código de cor</x:v>
      </x:c>
      <x:c r="E106" s="24" t="n">
        <x:v>20</x:v>
      </x:c>
      <x:c r="F106" s="34"/>
      <x:c r="G106" s="21" t="str">
        <x:v>sem-fator</x:v>
      </x:c>
      <x:c r="H106" s="35" t="str">
        <x:f>IFERROR(E106/F106,"")</x:f>
      </x:c>
      <x:c r="I106" s="17" t="str">
        <x:v>Pendente</x:v>
      </x:c>
    </x:row>
    <x:row r="107">
      <x:c r="A107" s="16" t="n">
        <x:v>107</x:v>
      </x:c>
      <x:c r="B107" s="21" t="str">
        <x:v>001.008.004.724.1</x:v>
      </x:c>
      <x:c r="C107" s="57" t="str">
        <x:v>Perfil Cabecote de PHA 25/16 Cor 724 PCT4,9 cx88,2 1kg.= (Q.A.F.L.)</x:v>
      </x:c>
      <x:c r="D107" s="21" t="str">
        <x:v>Código de cor</x:v>
      </x:c>
      <x:c r="E107" s="24" t="n">
        <x:v>20</x:v>
      </x:c>
      <x:c r="F107" s="34"/>
      <x:c r="G107" s="21" t="str">
        <x:v>sem-fator</x:v>
      </x:c>
      <x:c r="H107" s="35" t="str">
        <x:f>IFERROR(E107/F107,"")</x:f>
      </x:c>
      <x:c r="I107" s="17" t="str">
        <x:v>Pendente</x:v>
      </x:c>
    </x:row>
    <x:row r="108">
      <x:c r="A108" s="16" t="n">
        <x:v>108</x:v>
      </x:c>
      <x:c r="B108" s="21" t="str">
        <x:v>001.008.004.958.1</x:v>
      </x:c>
      <x:c r="C108" s="57" t="str">
        <x:v>Perfil Cabecote de PHA 25/16 Cor 958  PCT4,9 cx88,2 1kg.= (Q.A.F.L.)</x:v>
      </x:c>
      <x:c r="D108" s="21" t="str">
        <x:v>Código de cor</x:v>
      </x:c>
      <x:c r="E108" s="24" t="n">
        <x:v>20</x:v>
      </x:c>
      <x:c r="F108" s="34"/>
      <x:c r="G108" s="21" t="str">
        <x:v>sem-fator</x:v>
      </x:c>
      <x:c r="H108" s="35" t="str">
        <x:f>IFERROR(E108/F108,"")</x:f>
      </x:c>
      <x:c r="I108" s="17" t="str">
        <x:v>Pendente</x:v>
      </x:c>
    </x:row>
    <x:row r="109">
      <x:c r="A109" s="16" t="n">
        <x:v>109</x:v>
      </x:c>
      <x:c r="B109" s="21" t="str">
        <x:v>CC.000.001</x:v>
      </x:c>
      <x:c r="C109" s="57" t="str">
        <x:v>Perfil Cabecote de PHA 50 HHR50-100 White Pearl 1/25 PCT5,80m pct46,4f 1kg.= (hol) 06/19</x:v>
      </x:c>
      <x:c r="D109" s="21" t="str">
        <x:v>White Pearl</x:v>
      </x:c>
      <x:c r="E109" s="24" t="n">
        <x:v>40.57</x:v>
      </x:c>
      <x:c r="F109" s="34" t="n">
        <x:v>1.701</x:v>
      </x:c>
      <x:c r="G109" s="21" t="str">
        <x:v>familia-equivalente</x:v>
      </x:c>
      <x:c r="H109" s="35" t="n">
        <x:f>IFERROR(E109/F109,"")</x:f>
        <x:v>23.850676072898295</x:v>
      </x:c>
      <x:c r="I109" s="17" t="str">
        <x:v>Precificado</x:v>
      </x:c>
    </x:row>
    <x:row r="110">
      <x:c r="A110" s="16" t="n">
        <x:v>110</x:v>
      </x:c>
      <x:c r="B110" s="21" t="str">
        <x:v>CC.000.002</x:v>
      </x:c>
      <x:c r="C110" s="57" t="str">
        <x:v>Perfil Cabecote de PHA 50 HHR50-120 Silver 1/25 PCT5,80m pct46,4f 1kg.= (hol) 06/19</x:v>
      </x:c>
      <x:c r="D110" s="21" t="str">
        <x:v>Silver/Stone/Shadow</x:v>
      </x:c>
      <x:c r="E110" s="24" t="n">
        <x:v>42.61</x:v>
      </x:c>
      <x:c r="F110" s="34" t="n">
        <x:v>1.701</x:v>
      </x:c>
      <x:c r="G110" s="21" t="str">
        <x:v>familia-equivalente</x:v>
      </x:c>
      <x:c r="H110" s="35" t="n">
        <x:f>IFERROR(E110/F110,"")</x:f>
        <x:v>25.04997060552616</x:v>
      </x:c>
      <x:c r="I110" s="17" t="str">
        <x:v>Precificado</x:v>
      </x:c>
    </x:row>
    <x:row r="111">
      <x:c r="A111" s="16" t="n">
        <x:v>111</x:v>
      </x:c>
      <x:c r="B111" s="21" t="str">
        <x:v>CC.000.003</x:v>
      </x:c>
      <x:c r="C111" s="57" t="str">
        <x:v>Perfil Cabecote de PHA 50 HHR50-140 Oyster 1/25 pct46,4f pct5,80mc 1kg.= (hol) 06/19</x:v>
      </x:c>
      <x:c r="D111" s="21" t="str">
        <x:v>Oyster</x:v>
      </x:c>
      <x:c r="E111" s="24" t="n">
        <x:v>44.39</x:v>
      </x:c>
      <x:c r="F111" s="34" t="n">
        <x:v>1.701</x:v>
      </x:c>
      <x:c r="G111" s="21" t="str">
        <x:v>familia-equivalente</x:v>
      </x:c>
      <x:c r="H111" s="35" t="n">
        <x:f>IFERROR(E111/F111,"")</x:f>
        <x:v>26.09641387419165</x:v>
      </x:c>
      <x:c r="I111" s="17" t="str">
        <x:v>Precificado</x:v>
      </x:c>
    </x:row>
    <x:row r="112">
      <x:c r="A112" s="16" t="n">
        <x:v>112</x:v>
      </x:c>
      <x:c r="B112" s="21" t="str">
        <x:v>CC.000.004</x:v>
      </x:c>
      <x:c r="C112" s="57" t="str">
        <x:v>Perfil Cabecote de PHA 50 HHR50-160 Copper 1/25 PCT5,80m pct46,4f 1kg.=  (hol) 06/19</x:v>
      </x:c>
      <x:c r="D112" s="21" t="str">
        <x:v>Copper</x:v>
      </x:c>
      <x:c r="E112" s="24" t="n">
        <x:v>42.94</x:v>
      </x:c>
      <x:c r="F112" s="34" t="n">
        <x:v>1.701</x:v>
      </x:c>
      <x:c r="G112" s="21" t="str">
        <x:v>familia-equivalente</x:v>
      </x:c>
      <x:c r="H112" s="35" t="n">
        <x:f>IFERROR(E112/F112,"")</x:f>
        <x:v>25.24397413286302</x:v>
      </x:c>
      <x:c r="I112" s="17" t="str">
        <x:v>Precificado</x:v>
      </x:c>
    </x:row>
    <x:row r="113">
      <x:c r="A113" s="16" t="n">
        <x:v>113</x:v>
      </x:c>
      <x:c r="B113" s="21" t="str">
        <x:v>CC.000.005</x:v>
      </x:c>
      <x:c r="C113" s="57" t="str">
        <x:v>Perfil Cabecote de PHA 50 HHR50-190 Stone 1/25 PCT5,80m pct46,4f 1kg.= (hol) 06/19</x:v>
      </x:c>
      <x:c r="D113" s="21" t="str">
        <x:v>Silver/Stone/Shadow</x:v>
      </x:c>
      <x:c r="E113" s="24" t="n">
        <x:v>42.61</x:v>
      </x:c>
      <x:c r="F113" s="34" t="n">
        <x:v>1.701</x:v>
      </x:c>
      <x:c r="G113" s="21" t="str">
        <x:v>familia-equivalente</x:v>
      </x:c>
      <x:c r="H113" s="35" t="n">
        <x:f>IFERROR(E113/F113,"")</x:f>
        <x:v>25.04997060552616</x:v>
      </x:c>
      <x:c r="I113" s="17" t="str">
        <x:v>Precificado</x:v>
      </x:c>
    </x:row>
    <x:row r="114">
      <x:c r="A114" s="16" t="n">
        <x:v>114</x:v>
      </x:c>
      <x:c r="B114" s="21" t="str">
        <x:v>CC.000.006</x:v>
      </x:c>
      <x:c r="C114" s="57" t="str">
        <x:v>Perfil Cabecote de PHA 50 HHR50-200 Shadow 1/25 PCT5,80m pct46,4f 1kg.=</x:v>
      </x:c>
      <x:c r="D114" s="21" t="str">
        <x:v>Silver/Stone/Shadow</x:v>
      </x:c>
      <x:c r="E114" s="24" t="n">
        <x:v>42.61</x:v>
      </x:c>
      <x:c r="F114" s="34" t="n">
        <x:v>1.701</x:v>
      </x:c>
      <x:c r="G114" s="21" t="str">
        <x:v>familia-equivalente</x:v>
      </x:c>
      <x:c r="H114" s="35" t="n">
        <x:f>IFERROR(E114/F114,"")</x:f>
        <x:v>25.04997060552616</x:v>
      </x:c>
      <x:c r="I114" s="17" t="str">
        <x:v>Precificado</x:v>
      </x:c>
    </x:row>
    <x:row r="115">
      <x:c r="A115" s="16" t="n">
        <x:v>115</x:v>
      </x:c>
      <x:c r="B115" s="21" t="str">
        <x:v>CC.000.007</x:v>
      </x:c>
      <x:c r="C115" s="57" t="str">
        <x:v>Perfil Cabecote de PHA 50 HHR50-220 Night 1/25 pct46,4f pct5,80m 1kg.= (hol) 06/19 (s/c360)</x:v>
      </x:c>
      <x:c r="D115" s="21" t="str">
        <x:v>Night</x:v>
      </x:c>
      <x:c r="E115" s="24" t="n">
        <x:v>39.74</x:v>
      </x:c>
      <x:c r="F115" s="34" t="n">
        <x:v>1.701</x:v>
      </x:c>
      <x:c r="G115" s="21" t="str">
        <x:v>familia-equivalente</x:v>
      </x:c>
      <x:c r="H115" s="35" t="n">
        <x:f>IFERROR(E115/F115,"")</x:f>
        <x:v>23.362727807172252</x:v>
      </x:c>
      <x:c r="I115" s="17" t="str">
        <x:v>Precificado</x:v>
      </x:c>
    </x:row>
    <x:row r="116">
      <x:c r="A116" s="16" t="n">
        <x:v>116</x:v>
      </x:c>
      <x:c r="B116" s="21" t="str">
        <x:v>CC.000.005.1</x:v>
      </x:c>
      <x:c r="C116" s="57" t="str">
        <x:v>Perfil Cabecote de PHA 50 Stone Nacioanl  PCT4,88 1kg= 1,701 q.a.f.l</x:v>
      </x:c>
      <x:c r="D116" s="21" t="str">
        <x:v>Silver/Stone/Shadow</x:v>
      </x:c>
      <x:c r="E116" s="24" t="n">
        <x:v>42.61</x:v>
      </x:c>
      <x:c r="F116" s="34" t="n">
        <x:v>1.701</x:v>
      </x:c>
      <x:c r="G116" s="21" t="str">
        <x:v>descricao</x:v>
      </x:c>
      <x:c r="H116" s="35" t="n">
        <x:f>IFERROR(E116/F116,"")</x:f>
        <x:v>25.04997060552616</x:v>
      </x:c>
      <x:c r="I116" s="17" t="str">
        <x:v>Precificado</x:v>
      </x:c>
    </x:row>
    <x:row r="117">
      <x:c r="A117" s="16" t="n">
        <x:v>117</x:v>
      </x:c>
      <x:c r="B117" s="21" t="str">
        <x:v>4.2.013.009.1</x:v>
      </x:c>
      <x:c r="C117" s="57" t="str">
        <x:v>Perfil Cabeçote e Base de PHA 25/16 Cor 009  PCT4,9 cx88,2 1kg.=</x:v>
      </x:c>
      <x:c r="D117" s="21" t="str">
        <x:v>Código de cor</x:v>
      </x:c>
      <x:c r="E117" s="24" t="n">
        <x:v>20</x:v>
      </x:c>
      <x:c r="F117" s="34"/>
      <x:c r="G117" s="21" t="str">
        <x:v>sem-fator</x:v>
      </x:c>
      <x:c r="H117" s="35" t="str">
        <x:f>IFERROR(E117/F117,"")</x:f>
      </x:c>
      <x:c r="I117" s="17" t="str">
        <x:v>Pendente</x:v>
      </x:c>
    </x:row>
    <x:row r="118">
      <x:c r="A118" s="16" t="n">
        <x:v>118</x:v>
      </x:c>
      <x:c r="B118" s="21" t="str">
        <x:v>UH25.000.000.003</x:v>
      </x:c>
      <x:c r="C118" s="57" t="str">
        <x:v>Perfil Cabecote e Base de PHA 25/16 Cor 027 cx88,2 1kg.=</x:v>
      </x:c>
      <x:c r="D118" s="21" t="str">
        <x:v>Código de cor</x:v>
      </x:c>
      <x:c r="E118" s="24" t="n">
        <x:v>20</x:v>
      </x:c>
      <x:c r="F118" s="34"/>
      <x:c r="G118" s="21" t="str">
        <x:v>sem-fator</x:v>
      </x:c>
      <x:c r="H118" s="35" t="str">
        <x:f>IFERROR(E118/F118,"")</x:f>
      </x:c>
      <x:c r="I118" s="17" t="str">
        <x:v>Pendente</x:v>
      </x:c>
    </x:row>
    <x:row r="119">
      <x:c r="A119" s="16" t="n">
        <x:v>119</x:v>
      </x:c>
      <x:c r="B119" s="21" t="str">
        <x:v>4.2.013.216.1</x:v>
      </x:c>
      <x:c r="C119" s="57" t="str">
        <x:v>Perfil Cabeçote e Base de PHA 25/16 Cor 027 cx88,2 novo</x:v>
      </x:c>
      <x:c r="D119" s="21" t="str">
        <x:v>Código de cor</x:v>
      </x:c>
      <x:c r="E119" s="24" t="n">
        <x:v>20</x:v>
      </x:c>
      <x:c r="F119" s="34"/>
      <x:c r="G119" s="21" t="str">
        <x:v>sem-fator</x:v>
      </x:c>
      <x:c r="H119" s="35" t="str">
        <x:f>IFERROR(E119/F119,"")</x:f>
      </x:c>
      <x:c r="I119" s="17" t="str">
        <x:v>Pendente</x:v>
      </x:c>
    </x:row>
    <x:row r="120">
      <x:c r="A120" s="16" t="n">
        <x:v>120</x:v>
      </x:c>
      <x:c r="B120" s="21" t="str">
        <x:v>UH25.000.000.004</x:v>
      </x:c>
      <x:c r="C120" s="57" t="str">
        <x:v>Perfil Cabecote e Base de PHA 25/16 Cor 031 PCT4,9 cx88,2 1kg.=</x:v>
      </x:c>
      <x:c r="D120" s="21" t="str">
        <x:v>Código de cor</x:v>
      </x:c>
      <x:c r="E120" s="24" t="n">
        <x:v>20</x:v>
      </x:c>
      <x:c r="F120" s="34"/>
      <x:c r="G120" s="21" t="str">
        <x:v>sem-fator</x:v>
      </x:c>
      <x:c r="H120" s="35" t="str">
        <x:f>IFERROR(E120/F120,"")</x:f>
      </x:c>
      <x:c r="I120" s="17" t="str">
        <x:v>Pendente</x:v>
      </x:c>
    </x:row>
    <x:row r="121">
      <x:c r="A121" s="16" t="n">
        <x:v>121</x:v>
      </x:c>
      <x:c r="B121" s="21" t="str">
        <x:v>UH25.000.000.005</x:v>
      </x:c>
      <x:c r="C121" s="57" t="str">
        <x:v>Perfil Cabecote e Base de PHA 25/16 Cor 034 4,9m (B) PCT88,2 1kg.=</x:v>
      </x:c>
      <x:c r="D121" s="21" t="str">
        <x:v>Código de cor</x:v>
      </x:c>
      <x:c r="E121" s="24" t="n">
        <x:v>20</x:v>
      </x:c>
      <x:c r="F121" s="34"/>
      <x:c r="G121" s="21" t="str">
        <x:v>sem-fator</x:v>
      </x:c>
      <x:c r="H121" s="35" t="str">
        <x:f>IFERROR(E121/F121,"")</x:f>
      </x:c>
      <x:c r="I121" s="17" t="str">
        <x:v>Pendente</x:v>
      </x:c>
    </x:row>
    <x:row r="122">
      <x:c r="A122" s="16" t="n">
        <x:v>122</x:v>
      </x:c>
      <x:c r="B122" s="21" t="str">
        <x:v>4.2.013.034.1</x:v>
      </x:c>
      <x:c r="C122" s="57" t="str">
        <x:v>Perfil Cabeçote e Base de PHA 25/16 Cor 034 4,9m (B) PCT88,2 novo</x:v>
      </x:c>
      <x:c r="D122" s="21" t="str">
        <x:v>Código de cor</x:v>
      </x:c>
      <x:c r="E122" s="24" t="n">
        <x:v>20</x:v>
      </x:c>
      <x:c r="F122" s="34"/>
      <x:c r="G122" s="21" t="str">
        <x:v>sem-fator</x:v>
      </x:c>
      <x:c r="H122" s="35" t="str">
        <x:f>IFERROR(E122/F122,"")</x:f>
      </x:c>
      <x:c r="I122" s="17" t="str">
        <x:v>Pendente</x:v>
      </x:c>
    </x:row>
    <x:row r="123">
      <x:c r="A123" s="16" t="n">
        <x:v>123</x:v>
      </x:c>
      <x:c r="B123" s="21" t="str">
        <x:v>UH25.000.000.006</x:v>
      </x:c>
      <x:c r="C123" s="57" t="str">
        <x:v>Perfil Cabecote e Base de PHA 25/16 Cor 057 PCT4,9 cx88,2 1kg.=</x:v>
      </x:c>
      <x:c r="D123" s="21" t="str">
        <x:v>Código de cor</x:v>
      </x:c>
      <x:c r="E123" s="24" t="n">
        <x:v>20</x:v>
      </x:c>
      <x:c r="F123" s="34"/>
      <x:c r="G123" s="21" t="str">
        <x:v>sem-fator</x:v>
      </x:c>
      <x:c r="H123" s="35" t="str">
        <x:f>IFERROR(E123/F123,"")</x:f>
      </x:c>
      <x:c r="I123" s="17" t="str">
        <x:v>Pendente</x:v>
      </x:c>
    </x:row>
    <x:row r="124">
      <x:c r="A124" s="16" t="n">
        <x:v>124</x:v>
      </x:c>
      <x:c r="B124" s="21" t="str">
        <x:v>UH25.000.000.007</x:v>
      </x:c>
      <x:c r="C124" s="57" t="str">
        <x:v>Perfil Cabecote e Base de PHA 25/16 Cor 060 PCT4,9 cx88,2 1kg.=</x:v>
      </x:c>
      <x:c r="D124" s="21" t="str">
        <x:v>Código de cor</x:v>
      </x:c>
      <x:c r="E124" s="24" t="n">
        <x:v>20</x:v>
      </x:c>
      <x:c r="F124" s="34"/>
      <x:c r="G124" s="21" t="str">
        <x:v>sem-fator</x:v>
      </x:c>
      <x:c r="H124" s="35" t="str">
        <x:f>IFERROR(E124/F124,"")</x:f>
      </x:c>
      <x:c r="I124" s="17" t="str">
        <x:v>Pendente</x:v>
      </x:c>
    </x:row>
    <x:row r="125">
      <x:c r="A125" s="16" t="n">
        <x:v>125</x:v>
      </x:c>
      <x:c r="B125" s="21" t="str">
        <x:v>UH25.000.000.008</x:v>
      </x:c>
      <x:c r="C125" s="57" t="str">
        <x:v>Perfil Cabeçote e Base de PHA 25/16 Cor 061 PCT4,9 cx88,2 1kg.=</x:v>
      </x:c>
      <x:c r="D125" s="21" t="str">
        <x:v>Código de cor</x:v>
      </x:c>
      <x:c r="E125" s="24" t="n">
        <x:v>20</x:v>
      </x:c>
      <x:c r="F125" s="34"/>
      <x:c r="G125" s="21" t="str">
        <x:v>sem-fator</x:v>
      </x:c>
      <x:c r="H125" s="35" t="str">
        <x:f>IFERROR(E125/F125,"")</x:f>
      </x:c>
      <x:c r="I125" s="17" t="str">
        <x:v>Pendente</x:v>
      </x:c>
    </x:row>
    <x:row r="126">
      <x:c r="A126" s="16" t="n">
        <x:v>126</x:v>
      </x:c>
      <x:c r="B126" s="21" t="str">
        <x:v>UH25.000.000.009</x:v>
      </x:c>
      <x:c r="C126" s="57" t="str">
        <x:v>Perfil Cabecote e Base de PHA 25/16 Cor 100 PCT4,9 cx88,2 1kg.=</x:v>
      </x:c>
      <x:c r="D126" s="21" t="str">
        <x:v>Código de cor</x:v>
      </x:c>
      <x:c r="E126" s="24" t="n">
        <x:v>20</x:v>
      </x:c>
      <x:c r="F126" s="34"/>
      <x:c r="G126" s="21" t="str">
        <x:v>sem-fator</x:v>
      </x:c>
      <x:c r="H126" s="35" t="str">
        <x:f>IFERROR(E126/F126,"")</x:f>
      </x:c>
      <x:c r="I126" s="17" t="str">
        <x:v>Pendente</x:v>
      </x:c>
    </x:row>
    <x:row r="127">
      <x:c r="A127" s="16" t="n">
        <x:v>127</x:v>
      </x:c>
      <x:c r="B127" s="21" t="str">
        <x:v>UH25.000.000.010</x:v>
      </x:c>
      <x:c r="C127" s="57" t="str">
        <x:v>Perfil Cabecote e Base de PHA 25/16 Cor 108  4,9m PCT88,2 1kg.=</x:v>
      </x:c>
      <x:c r="D127" s="21" t="str">
        <x:v>Código de cor</x:v>
      </x:c>
      <x:c r="E127" s="24" t="n">
        <x:v>20</x:v>
      </x:c>
      <x:c r="F127" s="34"/>
      <x:c r="G127" s="21" t="str">
        <x:v>sem-fator</x:v>
      </x:c>
      <x:c r="H127" s="35" t="str">
        <x:f>IFERROR(E127/F127,"")</x:f>
      </x:c>
      <x:c r="I127" s="17" t="str">
        <x:v>Pendente</x:v>
      </x:c>
    </x:row>
    <x:row r="128">
      <x:c r="A128" s="16" t="n">
        <x:v>128</x:v>
      </x:c>
      <x:c r="B128" s="21" t="str">
        <x:v>UH25.000.000.011</x:v>
      </x:c>
      <x:c r="C128" s="57" t="str">
        <x:v>Perfil Cabecote e Base de PHA 25/16 Cor 112 4,9m PCT88,2 1kg.=</x:v>
      </x:c>
      <x:c r="D128" s="21" t="str">
        <x:v>Código de cor</x:v>
      </x:c>
      <x:c r="E128" s="24" t="n">
        <x:v>20</x:v>
      </x:c>
      <x:c r="F128" s="34"/>
      <x:c r="G128" s="21" t="str">
        <x:v>sem-fator</x:v>
      </x:c>
      <x:c r="H128" s="35" t="str">
        <x:f>IFERROR(E128/F128,"")</x:f>
      </x:c>
      <x:c r="I128" s="17" t="str">
        <x:v>Pendente</x:v>
      </x:c>
    </x:row>
    <x:row r="129">
      <x:c r="A129" s="16" t="n">
        <x:v>129</x:v>
      </x:c>
      <x:c r="B129" s="21" t="str">
        <x:v>4.2.013.112.1</x:v>
      </x:c>
      <x:c r="C129" s="57" t="str">
        <x:v>Perfil Cabeçote e Base de PHA 25/16 Cor 112 PCT88,2 PCT4,9 NOVO</x:v>
      </x:c>
      <x:c r="D129" s="21" t="str">
        <x:v>Código de cor</x:v>
      </x:c>
      <x:c r="E129" s="24" t="n">
        <x:v>20</x:v>
      </x:c>
      <x:c r="F129" s="34"/>
      <x:c r="G129" s="21" t="str">
        <x:v>sem-fator</x:v>
      </x:c>
      <x:c r="H129" s="35" t="str">
        <x:f>IFERROR(E129/F129,"")</x:f>
      </x:c>
      <x:c r="I129" s="17" t="str">
        <x:v>Pendente</x:v>
      </x:c>
    </x:row>
    <x:row r="130">
      <x:c r="A130" s="16" t="n">
        <x:v>130</x:v>
      </x:c>
      <x:c r="B130" s="21" t="str">
        <x:v>UH25.000.000.013</x:v>
      </x:c>
      <x:c r="C130" s="57" t="str">
        <x:v>Perfil Cabecote e Base de PHA 25/16 Cor 1553-131  4,9m (B) PCT88,2 1kg.=</x:v>
      </x:c>
      <x:c r="D130" s="21" t="str">
        <x:v>Código de cor</x:v>
      </x:c>
      <x:c r="E130" s="24" t="n">
        <x:v>20</x:v>
      </x:c>
      <x:c r="F130" s="34"/>
      <x:c r="G130" s="21" t="str">
        <x:v>sem-fator</x:v>
      </x:c>
      <x:c r="H130" s="35" t="str">
        <x:f>IFERROR(E130/F130,"")</x:f>
      </x:c>
      <x:c r="I130" s="17" t="str">
        <x:v>Pendente</x:v>
      </x:c>
    </x:row>
    <x:row r="131">
      <x:c r="A131" s="16" t="n">
        <x:v>131</x:v>
      </x:c>
      <x:c r="B131" s="21" t="str">
        <x:v>UH25.000.000.014</x:v>
      </x:c>
      <x:c r="C131" s="57" t="str">
        <x:v>Perfil Cabecote e Base de PHA 25/16 Cor 202  PCT88,2 PCT4,90 1kg.=</x:v>
      </x:c>
      <x:c r="D131" s="21" t="str">
        <x:v>Código de cor</x:v>
      </x:c>
      <x:c r="E131" s="24" t="n">
        <x:v>20</x:v>
      </x:c>
      <x:c r="F131" s="34"/>
      <x:c r="G131" s="21" t="str">
        <x:v>sem-fator</x:v>
      </x:c>
      <x:c r="H131" s="35" t="str">
        <x:f>IFERROR(E131/F131,"")</x:f>
      </x:c>
      <x:c r="I131" s="17" t="str">
        <x:v>Pendente</x:v>
      </x:c>
    </x:row>
    <x:row r="132">
      <x:c r="A132" s="16" t="n">
        <x:v>132</x:v>
      </x:c>
      <x:c r="B132" s="21" t="str">
        <x:v>4.2.013.233.1</x:v>
      </x:c>
      <x:c r="C132" s="57" t="str">
        <x:v>Perfil Cabeçote e Base de PHA 25/16 Cor 233 **CM2,63/DIAS **Pct88,2mf Pct4,9 novo</x:v>
      </x:c>
      <x:c r="D132" s="21" t="str">
        <x:v>Código de cor</x:v>
      </x:c>
      <x:c r="E132" s="24" t="n">
        <x:v>20</x:v>
      </x:c>
      <x:c r="F132" s="34"/>
      <x:c r="G132" s="21" t="str">
        <x:v>sem-fator</x:v>
      </x:c>
      <x:c r="H132" s="35" t="str">
        <x:f>IFERROR(E132/F132,"")</x:f>
      </x:c>
      <x:c r="I132" s="17" t="str">
        <x:v>Pendente</x:v>
      </x:c>
    </x:row>
    <x:row r="133">
      <x:c r="A133" s="16" t="n">
        <x:v>133</x:v>
      </x:c>
      <x:c r="B133" s="21" t="str">
        <x:v>UH25.000.000.015</x:v>
      </x:c>
      <x:c r="C133" s="57" t="str">
        <x:v>Perfil Cabecote e Base de PHA 25/16 Cor 233 4,9m (B) PCT88,2</x:v>
      </x:c>
      <x:c r="D133" s="21" t="str">
        <x:v>Código de cor</x:v>
      </x:c>
      <x:c r="E133" s="24" t="n">
        <x:v>20</x:v>
      </x:c>
      <x:c r="F133" s="34"/>
      <x:c r="G133" s="21" t="str">
        <x:v>sem-fator</x:v>
      </x:c>
      <x:c r="H133" s="35" t="str">
        <x:f>IFERROR(E133/F133,"")</x:f>
      </x:c>
      <x:c r="I133" s="17" t="str">
        <x:v>Pendente</x:v>
      </x:c>
    </x:row>
    <x:row r="134">
      <x:c r="A134" s="16" t="n">
        <x:v>134</x:v>
      </x:c>
      <x:c r="B134" s="21" t="str">
        <x:v>UH25.000.000.018</x:v>
      </x:c>
      <x:c r="C134" s="57" t="str">
        <x:v>Perfil Cabecote e Base de PHA 25/16 Cor 544 4,9m PCT88,2 (B) pct 88,2 1kg.=</x:v>
      </x:c>
      <x:c r="D134" s="21" t="str">
        <x:v>Código de cor</x:v>
      </x:c>
      <x:c r="E134" s="24" t="n">
        <x:v>20</x:v>
      </x:c>
      <x:c r="F134" s="34"/>
      <x:c r="G134" s="21" t="str">
        <x:v>sem-fator</x:v>
      </x:c>
      <x:c r="H134" s="35" t="str">
        <x:f>IFERROR(E134/F134,"")</x:f>
      </x:c>
      <x:c r="I134" s="17" t="str">
        <x:v>Pendente</x:v>
      </x:c>
    </x:row>
    <x:row r="135">
      <x:c r="A135" s="16" t="n">
        <x:v>135</x:v>
      </x:c>
      <x:c r="B135" s="21" t="str">
        <x:v>UH25.000.000.020</x:v>
      </x:c>
      <x:c r="C135" s="57" t="str">
        <x:v>Perfil Cabecote e Base de PHA 25/16 Cor 724 PCT4,9 cx88,2 1kg.=</x:v>
      </x:c>
      <x:c r="D135" s="21" t="str">
        <x:v>Código de cor</x:v>
      </x:c>
      <x:c r="E135" s="24" t="n">
        <x:v>20</x:v>
      </x:c>
      <x:c r="F135" s="34"/>
      <x:c r="G135" s="21" t="str">
        <x:v>sem-fator</x:v>
      </x:c>
      <x:c r="H135" s="35" t="str">
        <x:f>IFERROR(E135/F135,"")</x:f>
      </x:c>
      <x:c r="I135" s="17" t="str">
        <x:v>Pendente</x:v>
      </x:c>
    </x:row>
    <x:row r="136">
      <x:c r="A136" s="16" t="n">
        <x:v>136</x:v>
      </x:c>
      <x:c r="B136" s="21" t="str">
        <x:v>UH25.000.000.021</x:v>
      </x:c>
      <x:c r="C136" s="57" t="str">
        <x:v>Perfil Cabecote e Base de PHA 25/16 Cor 771 4,9m PCT88,2 pct14,7 1kg.=</x:v>
      </x:c>
      <x:c r="D136" s="21" t="str">
        <x:v>Código de cor</x:v>
      </x:c>
      <x:c r="E136" s="24" t="n">
        <x:v>20</x:v>
      </x:c>
      <x:c r="F136" s="34"/>
      <x:c r="G136" s="21" t="str">
        <x:v>sem-fator</x:v>
      </x:c>
      <x:c r="H136" s="35" t="str">
        <x:f>IFERROR(E136/F136,"")</x:f>
      </x:c>
      <x:c r="I136" s="17" t="str">
        <x:v>Pendente</x:v>
      </x:c>
    </x:row>
    <x:row r="137">
      <x:c r="A137" s="16" t="n">
        <x:v>137</x:v>
      </x:c>
      <x:c r="B137" s="21" t="str">
        <x:v>UH25.000.000.023</x:v>
      </x:c>
      <x:c r="C137" s="57" t="str">
        <x:v>Perfil Cabecote e Base de PHA 25/16 Cor 928  PCT4,9 cx88,2 1kg.=</x:v>
      </x:c>
      <x:c r="D137" s="21" t="str">
        <x:v>Código de cor</x:v>
      </x:c>
      <x:c r="E137" s="24" t="n">
        <x:v>20</x:v>
      </x:c>
      <x:c r="F137" s="34"/>
      <x:c r="G137" s="21" t="str">
        <x:v>sem-fator</x:v>
      </x:c>
      <x:c r="H137" s="35" t="str">
        <x:f>IFERROR(E137/F137,"")</x:f>
      </x:c>
      <x:c r="I137" s="17" t="str">
        <x:v>Pendente</x:v>
      </x:c>
    </x:row>
    <x:row r="138">
      <x:c r="A138" s="16" t="n">
        <x:v>138</x:v>
      </x:c>
      <x:c r="B138" s="21" t="str">
        <x:v>UH25.000.000.024</x:v>
      </x:c>
      <x:c r="C138" s="57" t="str">
        <x:v>Perfil Cabecote e Base de PHA 25/16 Cor 958  PCT4,9 cx88,2 1kg.=</x:v>
      </x:c>
      <x:c r="D138" s="21" t="str">
        <x:v>Código de cor</x:v>
      </x:c>
      <x:c r="E138" s="24" t="n">
        <x:v>20</x:v>
      </x:c>
      <x:c r="F138" s="34"/>
      <x:c r="G138" s="21" t="str">
        <x:v>sem-fator</x:v>
      </x:c>
      <x:c r="H138" s="35" t="str">
        <x:f>IFERROR(E138/F138,"")</x:f>
      </x:c>
      <x:c r="I138" s="17" t="str">
        <x:v>Pendente</x:v>
      </x:c>
    </x:row>
    <x:row r="139">
      <x:c r="A139" s="16" t="n">
        <x:v>139</x:v>
      </x:c>
      <x:c r="B139" s="21" t="str">
        <x:v>001.008.004.112.4</x:v>
      </x:c>
      <x:c r="C139" s="57" t="str">
        <x:v>Perfil Cabecote PH 50 .PINTAR 5871-6M  (1kg.=1,65729m) ml}a</x:v>
      </x:c>
      <x:c r="D139" s="21" t="str">
        <x:v>Alumínio cru</x:v>
      </x:c>
      <x:c r="E139" s="24" t="n">
        <x:v>34.74</x:v>
      </x:c>
      <x:c r="F139" s="34" t="n">
        <x:v>1.65729</x:v>
      </x:c>
      <x:c r="G139" s="21" t="str">
        <x:v>descricao</x:v>
      </x:c>
      <x:c r="H139" s="35" t="n">
        <x:f>IFERROR(E139/F139,"")</x:f>
        <x:v>20.96193182846696</x:v>
      </x:c>
      <x:c r="I139" s="17" t="str">
        <x:v>Precificado</x:v>
      </x:c>
    </x:row>
    <x:row r="140">
      <x:c r="A140" s="16" t="n">
        <x:v>140</x:v>
      </x:c>
      <x:c r="B140" s="21" t="str">
        <x:v>001.008.004.112.3</x:v>
      </x:c>
      <x:c r="C140" s="57" t="str">
        <x:v>Perfil Cabecote PH50 112 Bege 5871-6M (A)  {1Kg.=1,701m}</x:v>
      </x:c>
      <x:c r="D140" s="21" t="str">
        <x:v>Bege</x:v>
      </x:c>
      <x:c r="E140" s="24" t="n">
        <x:v>44.39</x:v>
      </x:c>
      <x:c r="F140" s="34" t="n">
        <x:v>1.701</x:v>
      </x:c>
      <x:c r="G140" s="21" t="str">
        <x:v>descricao</x:v>
      </x:c>
      <x:c r="H140" s="35" t="n">
        <x:f>IFERROR(E140/F140,"")</x:f>
        <x:v>26.09641387419165</x:v>
      </x:c>
      <x:c r="I140" s="17" t="str">
        <x:v>Precificado</x:v>
      </x:c>
    </x:row>
    <x:row r="141">
      <x:c r="A141" s="16" t="n">
        <x:v>141</x:v>
      </x:c>
      <x:c r="B141" s="21" t="str">
        <x:v>001.008.004.233.2</x:v>
      </x:c>
      <x:c r="C141" s="57" t="str">
        <x:v>Perfil Cabecote PH50 233 Preto 5871-6M  (A) {1Kg.=1,701m}</x:v>
      </x:c>
      <x:c r="D141" s="21" t="str">
        <x:v>Preto</x:v>
      </x:c>
      <x:c r="E141" s="24" t="n">
        <x:v>39.74</x:v>
      </x:c>
      <x:c r="F141" s="34" t="n">
        <x:v>1.701</x:v>
      </x:c>
      <x:c r="G141" s="21" t="str">
        <x:v>descricao</x:v>
      </x:c>
      <x:c r="H141" s="35" t="n">
        <x:f>IFERROR(E141/F141,"")</x:f>
        <x:v>23.362727807172252</x:v>
      </x:c>
      <x:c r="I141" s="17" t="str">
        <x:v>Precificado</x:v>
      </x:c>
    </x:row>
    <x:row r="142">
      <x:c r="A142" s="16" t="n">
        <x:v>142</x:v>
      </x:c>
      <x:c r="B142" s="21" t="str">
        <x:v>001.008.004.544.3</x:v>
      </x:c>
      <x:c r="C142" s="57" t="str">
        <x:v>Perfil Cabecote PH50 544 Branco 5871-6M  (A){1Kg.=1,701m}</x:v>
      </x:c>
      <x:c r="D142" s="21" t="str">
        <x:v>Branco</x:v>
      </x:c>
      <x:c r="E142" s="24" t="n">
        <x:v>40.57</x:v>
      </x:c>
      <x:c r="F142" s="34" t="n">
        <x:v>1.701</x:v>
      </x:c>
      <x:c r="G142" s="21" t="str">
        <x:v>descricao</x:v>
      </x:c>
      <x:c r="H142" s="35" t="n">
        <x:f>IFERROR(E142/F142,"")</x:f>
        <x:v>23.850676072898295</x:v>
      </x:c>
      <x:c r="I142" s="17" t="str">
        <x:v>Precificado</x:v>
      </x:c>
    </x:row>
    <x:row r="143">
      <x:c r="A143" s="16" t="n">
        <x:v>143</x:v>
      </x:c>
      <x:c r="B143" s="21" t="str">
        <x:v>1008004959</x:v>
      </x:c>
      <x:c r="C143" s="57" t="str">
        <x:v>Perfil Cabecote PH50 Cherry 8024 5871-6M  (A) {1Kg.=1,701m}</x:v>
      </x:c>
      <x:c r="D143" s="21" t="str">
        <x:v>Cherry</x:v>
      </x:c>
      <x:c r="E143" s="24" t="n">
        <x:v>44.92</x:v>
      </x:c>
      <x:c r="F143" s="34" t="n">
        <x:v>1.701</x:v>
      </x:c>
      <x:c r="G143" s="21" t="str">
        <x:v>descricao</x:v>
      </x:c>
      <x:c r="H143" s="35" t="n">
        <x:f>IFERROR(E143/F143,"")</x:f>
        <x:v>26.407995296884184</x:v>
      </x:c>
      <x:c r="I143" s="17" t="str">
        <x:v>Precificado</x:v>
      </x:c>
    </x:row>
    <x:row r="144">
      <x:c r="A144" s="16" t="n">
        <x:v>144</x:v>
      </x:c>
      <x:c r="B144" s="21" t="str">
        <x:v>001.008.004.034.2</x:v>
      </x:c>
      <x:c r="C144" s="57" t="str">
        <x:v>Perfil Cabecote PH50 Cinza 5871-6M (A)  {1Kg.=1,701m}</x:v>
      </x:c>
      <x:c r="D144" s="21" t="str">
        <x:v>Cinza</x:v>
      </x:c>
      <x:c r="E144" s="24" t="n">
        <x:v>42.61</x:v>
      </x:c>
      <x:c r="F144" s="34" t="n">
        <x:v>1.701</x:v>
      </x:c>
      <x:c r="G144" s="21" t="str">
        <x:v>descricao</x:v>
      </x:c>
      <x:c r="H144" s="35" t="n">
        <x:f>IFERROR(E144/F144,"")</x:f>
        <x:v>25.04997060552616</x:v>
      </x:c>
      <x:c r="I144" s="17" t="str">
        <x:v>Precificado</x:v>
      </x:c>
    </x:row>
    <x:row r="145">
      <x:c r="A145" s="16" t="n">
        <x:v>145</x:v>
      </x:c>
      <x:c r="B145" s="21" t="str">
        <x:v>1008004961</x:v>
      </x:c>
      <x:c r="C145" s="57" t="str">
        <x:v>Perfil Cabecote PH50 Dark Cherry 8014 5871-6M  {1Kg.=1,701m} (A) PCT60M</x:v>
      </x:c>
      <x:c r="D145" s="21" t="str">
        <x:v>Darck Cherry</x:v>
      </x:c>
      <x:c r="E145" s="24" t="n">
        <x:v>43.11</x:v>
      </x:c>
      <x:c r="F145" s="34" t="n">
        <x:v>1.701</x:v>
      </x:c>
      <x:c r="G145" s="21" t="str">
        <x:v>descricao</x:v>
      </x:c>
      <x:c r="H145" s="35" t="n">
        <x:f>IFERROR(E145/F145,"")</x:f>
        <x:v>25.34391534391534</x:v>
      </x:c>
      <x:c r="I145" s="17" t="str">
        <x:v>Precificado</x:v>
      </x:c>
    </x:row>
    <x:row r="146">
      <x:c r="A146" s="16" t="n">
        <x:v>146</x:v>
      </x:c>
      <x:c r="B146" s="21" t="str">
        <x:v>001.008.003.001.2</x:v>
      </x:c>
      <x:c r="C146" s="57" t="str">
        <x:v>Perfil Cabecote Sky Windows Manual .Pintar Alpex1655-6m  {1kg.=3,882ml}PCT6M</x:v>
      </x:c>
      <x:c r="D146" s="21" t="str">
        <x:v>Alumínio cru</x:v>
      </x:c>
      <x:c r="E146" s="24" t="n">
        <x:v>34.74</x:v>
      </x:c>
      <x:c r="F146" s="34" t="n">
        <x:v>3.882</x:v>
      </x:c>
      <x:c r="G146" s="21" t="str">
        <x:v>descricao</x:v>
      </x:c>
      <x:c r="H146" s="35" t="n">
        <x:f>IFERROR(E146/F146,"")</x:f>
        <x:v>8.948995363214838</x:v>
      </x:c>
      <x:c r="I146" s="17" t="str">
        <x:v>Precificado</x:v>
      </x:c>
    </x:row>
    <x:row r="147">
      <x:c r="A147" s="16" t="n">
        <x:v>147</x:v>
      </x:c>
      <x:c r="B147" s="21" t="str">
        <x:v>1008003001</x:v>
      </x:c>
      <x:c r="C147" s="57" t="str">
        <x:v>Perfil Cabecote Sky Windows Manual Branco Alpex1655-6m (B) {1kg.=3,882ml}PCT6M</x:v>
      </x:c>
      <x:c r="D147" s="21" t="str">
        <x:v>Branco</x:v>
      </x:c>
      <x:c r="E147" s="24" t="n">
        <x:v>40.57</x:v>
      </x:c>
      <x:c r="F147" s="34" t="n">
        <x:v>3.882</x:v>
      </x:c>
      <x:c r="G147" s="21" t="str">
        <x:v>descricao</x:v>
      </x:c>
      <x:c r="H147" s="35" t="n">
        <x:f>IFERROR(E147/F147,"")</x:f>
        <x:v>10.450798557444616</x:v>
      </x:c>
      <x:c r="I147" s="17" t="str">
        <x:v>Precificado</x:v>
      </x:c>
    </x:row>
    <x:row r="148">
      <x:c r="A148" s="16" t="n">
        <x:v>148</x:v>
      </x:c>
      <x:c r="B148" s="21" t="str">
        <x:v>001.008.003.0010</x:v>
      </x:c>
      <x:c r="C148" s="57" t="str">
        <x:v>Perfil Cabecote Sky Windows Manual Bronze Alpex1655-6m  {1kg.=3,882ml}PCT6M</x:v>
      </x:c>
      <x:c r="D148" s="21" t="str">
        <x:v>Bronze</x:v>
      </x:c>
      <x:c r="E148" s="24" t="n">
        <x:v>42.94</x:v>
      </x:c>
      <x:c r="F148" s="34" t="n">
        <x:v>3.882</x:v>
      </x:c>
      <x:c r="G148" s="21" t="str">
        <x:v>descricao</x:v>
      </x:c>
      <x:c r="H148" s="35" t="n">
        <x:f>IFERROR(E148/F148,"")</x:f>
        <x:v>11.061308603812467</x:v>
      </x:c>
      <x:c r="I148" s="17" t="str">
        <x:v>Precificado</x:v>
      </x:c>
    </x:row>
    <x:row r="149">
      <x:c r="A149" s="16" t="n">
        <x:v>149</x:v>
      </x:c>
      <x:c r="B149" s="21" t="str">
        <x:v>001.008.003.0011</x:v>
      </x:c>
      <x:c r="C149" s="57" t="str">
        <x:v>Perfil Cabecote Sky Windows Manual Preto Alpex1655-6m  {1kg.=3,882ml}PCT6M</x:v>
      </x:c>
      <x:c r="D149" s="21" t="str">
        <x:v>Preto</x:v>
      </x:c>
      <x:c r="E149" s="24" t="n">
        <x:v>39.74</x:v>
      </x:c>
      <x:c r="F149" s="34" t="n">
        <x:v>3.882</x:v>
      </x:c>
      <x:c r="G149" s="21" t="str">
        <x:v>descricao</x:v>
      </x:c>
      <x:c r="H149" s="35" t="n">
        <x:f>IFERROR(E149/F149,"")</x:f>
        <x:v>10.236991241628028</x:v>
      </x:c>
      <x:c r="I149" s="17" t="str">
        <x:v>Precificado</x:v>
      </x:c>
    </x:row>
    <x:row r="150">
      <x:c r="A150" s="16" t="n">
        <x:v>150</x:v>
      </x:c>
      <x:c r="B150" s="21" t="str">
        <x:v>PL500050</x:v>
      </x:c>
      <x:c r="C150" s="57" t="str">
        <x:v>Perfil Cabecote XL2.0 .PINTAR ESAF-4101-6m  (1Kg.= 2,323ml}a  Modelo Novo</x:v>
      </x:c>
      <x:c r="D150" s="21" t="str">
        <x:v>Alumínio cru</x:v>
      </x:c>
      <x:c r="E150" s="24" t="n">
        <x:v>34.74</x:v>
      </x:c>
      <x:c r="F150" s="34" t="n">
        <x:v>2.323</x:v>
      </x:c>
      <x:c r="G150" s="21" t="str">
        <x:v>descricao</x:v>
      </x:c>
      <x:c r="H150" s="35" t="n">
        <x:f>IFERROR(E150/F150,"")</x:f>
        <x:v>14.95479982780887</x:v>
      </x:c>
      <x:c r="I150" s="17" t="str">
        <x:v>Precificado</x:v>
      </x:c>
    </x:row>
    <x:row r="151">
      <x:c r="A151" s="16" t="n">
        <x:v>151</x:v>
      </x:c>
      <x:c r="B151" s="21" t="str">
        <x:v>PL500048</x:v>
      </x:c>
      <x:c r="C151" s="57" t="str">
        <x:v>Perfil Cabecote XL2.0 Bege ES-4101-6m (1Kg.=3,323ml) Modelo Novo</x:v>
      </x:c>
      <x:c r="D151" s="21" t="str">
        <x:v>Bege</x:v>
      </x:c>
      <x:c r="E151" s="24" t="n">
        <x:v>44.39</x:v>
      </x:c>
      <x:c r="F151" s="34" t="n">
        <x:v>3.323</x:v>
      </x:c>
      <x:c r="G151" s="21" t="str">
        <x:v>descricao</x:v>
      </x:c>
      <x:c r="H151" s="35" t="n">
        <x:f>IFERROR(E151/F151,"")</x:f>
        <x:v>13.358411074330425</x:v>
      </x:c>
      <x:c r="I151" s="17" t="str">
        <x:v>Precificado</x:v>
      </x:c>
    </x:row>
    <x:row r="152">
      <x:c r="A152" s="16" t="n">
        <x:v>152</x:v>
      </x:c>
      <x:c r="B152" s="21" t="str">
        <x:v>001.008.004.544.3.1</x:v>
      </x:c>
      <x:c r="C152" s="57" t="str">
        <x:v>Perfil Cabecote XL2.0 Branco ESAF-4101-6m  (1Kg.=2,323m) Modelo Novo</x:v>
      </x:c>
      <x:c r="D152" s="21" t="str">
        <x:v>Branco</x:v>
      </x:c>
      <x:c r="E152" s="24" t="n">
        <x:v>40.57</x:v>
      </x:c>
      <x:c r="F152" s="34" t="n">
        <x:v>2.323</x:v>
      </x:c>
      <x:c r="G152" s="21" t="str">
        <x:v>descricao</x:v>
      </x:c>
      <x:c r="H152" s="35" t="n">
        <x:f>IFERROR(E152/F152,"")</x:f>
        <x:v>17.464485578992683</x:v>
      </x:c>
      <x:c r="I152" s="17" t="str">
        <x:v>Precificado</x:v>
      </x:c>
    </x:row>
    <x:row r="153">
      <x:c r="A153" s="16" t="n">
        <x:v>153</x:v>
      </x:c>
      <x:c r="B153" s="21" t="str">
        <x:v>PL500049</x:v>
      </x:c>
      <x:c r="C153" s="57" t="str">
        <x:v>Perfil Cabecote XL2.0 Bronze 1003 ES-4101-6m (1Kg.=2,323ml) Modelo novo</x:v>
      </x:c>
      <x:c r="D153" s="21" t="str">
        <x:v>Bronze</x:v>
      </x:c>
      <x:c r="E153" s="24" t="n">
        <x:v>42.94</x:v>
      </x:c>
      <x:c r="F153" s="34" t="n">
        <x:v>2.323</x:v>
      </x:c>
      <x:c r="G153" s="21" t="str">
        <x:v>descricao</x:v>
      </x:c>
      <x:c r="H153" s="35" t="n">
        <x:f>IFERROR(E153/F153,"")</x:f>
        <x:v>18.484718037021093</x:v>
      </x:c>
      <x:c r="I153" s="17" t="str">
        <x:v>Precificado</x:v>
      </x:c>
    </x:row>
    <x:row r="154">
      <x:c r="A154" s="16" t="n">
        <x:v>154</x:v>
      </x:c>
      <x:c r="B154" s="21" t="str">
        <x:v>PL500047</x:v>
      </x:c>
      <x:c r="C154" s="57" t="str">
        <x:v>Perfil Cabecote XL2.0 Preto ESAF-4101-6m  (1Kg.=2,323ml)  Modelo Novo</x:v>
      </x:c>
      <x:c r="D154" s="21" t="str">
        <x:v>Preto</x:v>
      </x:c>
      <x:c r="E154" s="24" t="n">
        <x:v>39.74</x:v>
      </x:c>
      <x:c r="F154" s="34" t="n">
        <x:v>2.323</x:v>
      </x:c>
      <x:c r="G154" s="21" t="str">
        <x:v>descricao</x:v>
      </x:c>
      <x:c r="H154" s="35" t="n">
        <x:f>IFERROR(E154/F154,"")</x:f>
        <x:v>17.107188979767542</x:v>
      </x:c>
      <x:c r="I154" s="17" t="str">
        <x:v>Precificado</x:v>
      </x:c>
    </x:row>
    <x:row r="155">
      <x:c r="A155" s="16" t="n">
        <x:v>155</x:v>
      </x:c>
      <x:c r="B155" s="21" t="str">
        <x:v>001.008.002.001.19</x:v>
      </x:c>
      <x:c r="C155" s="57" t="str">
        <x:v>Perfil Canaleta da Romana .PINTAR 3476/REI889)  {1Kg.=24,226ml}a plp2xa</x:v>
      </x:c>
      <x:c r="D155" s="21" t="str">
        <x:v>Alumínio cru</x:v>
      </x:c>
      <x:c r="E155" s="24" t="n">
        <x:v>34.74</x:v>
      </x:c>
      <x:c r="F155" s="34" t="n">
        <x:v>24.226</x:v>
      </x:c>
      <x:c r="G155" s="21" t="str">
        <x:v>descricao</x:v>
      </x:c>
      <x:c r="H155" s="35" t="n">
        <x:f>IFERROR(E155/F155,"")</x:f>
        <x:v>1.433996532650871</x:v>
      </x:c>
      <x:c r="I155" s="17" t="str">
        <x:v>Precificado</x:v>
      </x:c>
    </x:row>
    <x:row r="156">
      <x:c r="A156" s="16" t="n">
        <x:v>156</x:v>
      </x:c>
      <x:c r="B156" s="21" t="str">
        <x:v>001.008.002.000.13</x:v>
      </x:c>
      <x:c r="C156" s="57" t="str">
        <x:v>Perfil Canaleta da Romana Bege 3476/REI889-6m (B) {1kg.=23,852m}</x:v>
      </x:c>
      <x:c r="D156" s="21" t="str">
        <x:v>Bege</x:v>
      </x:c>
      <x:c r="E156" s="24" t="n">
        <x:v>44.39</x:v>
      </x:c>
      <x:c r="F156" s="34" t="n">
        <x:v>23.852</x:v>
      </x:c>
      <x:c r="G156" s="21" t="str">
        <x:v>descricao</x:v>
      </x:c>
      <x:c r="H156" s="35" t="n">
        <x:f>IFERROR(E156/F156,"")</x:f>
        <x:v>1.861059869193359</x:v>
      </x:c>
      <x:c r="I156" s="17" t="str">
        <x:v>Precificado</x:v>
      </x:c>
    </x:row>
    <x:row r="157">
      <x:c r="A157" s="16" t="n">
        <x:v>157</x:v>
      </x:c>
      <x:c r="B157" s="21" t="str">
        <x:v>001.008.002.000.1</x:v>
      </x:c>
      <x:c r="C157" s="57" t="str">
        <x:v>Perfil Canaleta da Romana Branco 3476/REI889-6m (B) {1Kg.=23,852ml}</x:v>
      </x:c>
      <x:c r="D157" s="21" t="str">
        <x:v>Branco</x:v>
      </x:c>
      <x:c r="E157" s="24" t="n">
        <x:v>40.57</x:v>
      </x:c>
      <x:c r="F157" s="34" t="n">
        <x:v>23.852</x:v>
      </x:c>
      <x:c r="G157" s="21" t="str">
        <x:v>descricao</x:v>
      </x:c>
      <x:c r="H157" s="35" t="n">
        <x:f>IFERROR(E157/F157,"")</x:f>
        <x:v>1.7009055844373637</x:v>
      </x:c>
      <x:c r="I157" s="17" t="str">
        <x:v>Precificado</x:v>
      </x:c>
    </x:row>
    <x:row r="158">
      <x:c r="A158" s="16" t="n">
        <x:v>158</x:v>
      </x:c>
      <x:c r="B158" s="21" t="str">
        <x:v>001.008.002.060.6</x:v>
      </x:c>
      <x:c r="C158" s="57" t="str">
        <x:v>Perfil Canaleta da Romana Bronze 3476/REI889-6m  {1Kg.=23,852ml} PCT60M plp2xa</x:v>
      </x:c>
      <x:c r="D158" s="21" t="str">
        <x:v>Bronze</x:v>
      </x:c>
      <x:c r="E158" s="24" t="n">
        <x:v>42.94</x:v>
      </x:c>
      <x:c r="F158" s="34" t="n">
        <x:v>23.852</x:v>
      </x:c>
      <x:c r="G158" s="21" t="str">
        <x:v>descricao</x:v>
      </x:c>
      <x:c r="H158" s="35" t="n">
        <x:f>IFERROR(E158/F158,"")</x:f>
        <x:v>1.8002683213147743</x:v>
      </x:c>
      <x:c r="I158" s="17" t="str">
        <x:v>Precificado</x:v>
      </x:c>
    </x:row>
    <x:row r="159">
      <x:c r="A159" s="16" t="n">
        <x:v>159</x:v>
      </x:c>
      <x:c r="B159" s="21" t="str">
        <x:v>001.008.002.000.26</x:v>
      </x:c>
      <x:c r="C159" s="57" t="str">
        <x:v>Perfil Canaleta da Romana Cinza 3476/REI889-6m (B) {1kg.=23,852m}</x:v>
      </x:c>
      <x:c r="D159" s="21" t="str">
        <x:v>Cinza</x:v>
      </x:c>
      <x:c r="E159" s="24" t="n">
        <x:v>42.61</x:v>
      </x:c>
      <x:c r="F159" s="34" t="n">
        <x:v>23.852</x:v>
      </x:c>
      <x:c r="G159" s="21" t="str">
        <x:v>descricao</x:v>
      </x:c>
      <x:c r="H159" s="35" t="n">
        <x:f>IFERROR(E159/F159,"")</x:f>
        <x:v>1.7864330035217173</x:v>
      </x:c>
      <x:c r="I159" s="17" t="str">
        <x:v>Precificado</x:v>
      </x:c>
    </x:row>
    <x:row r="160">
      <x:c r="A160" s="16" t="n">
        <x:v>160</x:v>
      </x:c>
      <x:c r="B160" s="21" t="str">
        <x:v>001.008.002.233.7</x:v>
      </x:c>
      <x:c r="C160" s="57" t="str">
        <x:v>Perfil Canaleta da Romana Preto 3476/REI889-6m {1Kg.=23,852ml}</x:v>
      </x:c>
      <x:c r="D160" s="21" t="str">
        <x:v>Preto</x:v>
      </x:c>
      <x:c r="E160" s="24" t="n">
        <x:v>39.74</x:v>
      </x:c>
      <x:c r="F160" s="34" t="n">
        <x:v>23.852</x:v>
      </x:c>
      <x:c r="G160" s="21" t="str">
        <x:v>descricao</x:v>
      </x:c>
      <x:c r="H160" s="35" t="n">
        <x:f>IFERROR(E160/F160,"")</x:f>
        <x:v>1.6661076639275534</x:v>
      </x:c>
      <x:c r="I160" s="17" t="str">
        <x:v>Precificado</x:v>
      </x:c>
    </x:row>
    <x:row r="161">
      <x:c r="A161" s="16" t="n">
        <x:v>161</x:v>
      </x:c>
      <x:c r="B161" s="21" t="str">
        <x:v>001.008.002.001.19 -0310</x:v>
      </x:c>
      <x:c r="C161" s="57" t="str">
        <x:v>Perfil Canaleta da Romana Sky/Window (APE0310/ALPEX6529) PINTAR  1Kg 73267mla</x:v>
      </x:c>
      <x:c r="D161" s="21" t="str">
        <x:v>Alumínio cru</x:v>
      </x:c>
      <x:c r="E161" s="24" t="n">
        <x:v>34.74</x:v>
      </x:c>
      <x:c r="F161" s="34" t="n">
        <x:v>7.3267</x:v>
      </x:c>
      <x:c r="G161" s="21" t="str">
        <x:v>descricao</x:v>
      </x:c>
      <x:c r="H161" s="35" t="n">
        <x:f>IFERROR(E161/F161,"")</x:f>
        <x:v>4.741561685342651</x:v>
      </x:c>
      <x:c r="I161" s="17" t="str">
        <x:v>Precificado</x:v>
      </x:c>
    </x:row>
    <x:row r="162">
      <x:c r="A162" s="16" t="n">
        <x:v>162</x:v>
      </x:c>
      <x:c r="B162" s="21" t="str">
        <x:v>001.008.002.000.23</x:v>
      </x:c>
      <x:c r="C162" s="57" t="str">
        <x:v>Perfil Canaleta da Romana Sky/Window Branco APE0310/ALPEX6529-6m (B) {1Kg.=7,225M}</x:v>
      </x:c>
      <x:c r="D162" s="21" t="str">
        <x:v>Branco</x:v>
      </x:c>
      <x:c r="E162" s="24" t="n">
        <x:v>40.57</x:v>
      </x:c>
      <x:c r="F162" s="34" t="n">
        <x:v>7.225</x:v>
      </x:c>
      <x:c r="G162" s="21" t="str">
        <x:v>descricao</x:v>
      </x:c>
      <x:c r="H162" s="35" t="n">
        <x:f>IFERROR(E162/F162,"")</x:f>
        <x:v>5.61522491349481</x:v>
      </x:c>
      <x:c r="I162" s="17" t="str">
        <x:v>Precificado</x:v>
      </x:c>
    </x:row>
    <x:row r="163">
      <x:c r="A163" s="16" t="n">
        <x:v>163</x:v>
      </x:c>
      <x:c r="B163" s="21" t="str">
        <x:v>001.008.002.000.24</x:v>
      </x:c>
      <x:c r="C163" s="57" t="str">
        <x:v>Perfil Canaleta da Romana Sky/Window Bronze APE0310/ALPEX6529-6m {1Kg.=7,225M} PCT6M</x:v>
      </x:c>
      <x:c r="D163" s="21" t="str">
        <x:v>Bronze</x:v>
      </x:c>
      <x:c r="E163" s="24" t="n">
        <x:v>42.94</x:v>
      </x:c>
      <x:c r="F163" s="34" t="n">
        <x:v>7.225</x:v>
      </x:c>
      <x:c r="G163" s="21" t="str">
        <x:v>descricao</x:v>
      </x:c>
      <x:c r="H163" s="35" t="n">
        <x:f>IFERROR(E163/F163,"")</x:f>
        <x:v>5.943252595155709</x:v>
      </x:c>
      <x:c r="I163" s="17" t="str">
        <x:v>Precificado</x:v>
      </x:c>
    </x:row>
    <x:row r="164">
      <x:c r="A164" s="16" t="n">
        <x:v>164</x:v>
      </x:c>
      <x:c r="B164" s="21" t="str">
        <x:v>001.008.002.000.25</x:v>
      </x:c>
      <x:c r="C164" s="57" t="str">
        <x:v>Perfil Canaleta da Romana Sky/Window Preto APE0310/ALPEX6529-6m (B) {1Kg.=7,225M}</x:v>
      </x:c>
      <x:c r="D164" s="21" t="str">
        <x:v>Preto</x:v>
      </x:c>
      <x:c r="E164" s="24" t="n">
        <x:v>39.74</x:v>
      </x:c>
      <x:c r="F164" s="34" t="n">
        <x:v>7.225</x:v>
      </x:c>
      <x:c r="G164" s="21" t="str">
        <x:v>descricao</x:v>
      </x:c>
      <x:c r="H164" s="35" t="n">
        <x:f>IFERROR(E164/F164,"")</x:f>
        <x:v>5.5003460207612465</x:v>
      </x:c>
      <x:c r="I164" s="17" t="str">
        <x:v>Precificado</x:v>
      </x:c>
    </x:row>
    <x:row r="165">
      <x:c r="A165" s="16" t="n">
        <x:v>165</x:v>
      </x:c>
      <x:c r="B165" s="21" t="str">
        <x:v>PLC0001</x:v>
      </x:c>
      <x:c r="C165" s="57" t="str">
        <x:v>Perfil CordLock Cabecote 38mm (PLC38-27/ALPEX6534) Branco bco (1kg.=3,133m) pct5,8</x:v>
      </x:c>
      <x:c r="D165" s="21" t="str">
        <x:v>Branco</x:v>
      </x:c>
      <x:c r="E165" s="24" t="n">
        <x:v>40.57</x:v>
      </x:c>
      <x:c r="F165" s="34" t="n">
        <x:v>3.133</x:v>
      </x:c>
      <x:c r="G165" s="21" t="str">
        <x:v>descricao</x:v>
      </x:c>
      <x:c r="H165" s="35" t="n">
        <x:f>IFERROR(E165/F165,"")</x:f>
        <x:v>12.949249920204277</x:v>
      </x:c>
      <x:c r="I165" s="17" t="str">
        <x:v>Precificado</x:v>
      </x:c>
    </x:row>
    <x:row r="166">
      <x:c r="A166" s="16" t="n">
        <x:v>166</x:v>
      </x:c>
      <x:c r="B166" s="21" t="str">
        <x:v>PLC0002</x:v>
      </x:c>
      <x:c r="C166" s="57" t="str">
        <x:v>Perfil CordLock Cabecote 38mm (PLC38-27/ALPEX6534) Cinza cz (1kg.=3,133m) PCT5,80L pct5,8</x:v>
      </x:c>
      <x:c r="D166" s="21" t="str">
        <x:v>Cinza</x:v>
      </x:c>
      <x:c r="E166" s="24" t="n">
        <x:v>42.61</x:v>
      </x:c>
      <x:c r="F166" s="34" t="n">
        <x:v>3.133</x:v>
      </x:c>
      <x:c r="G166" s="21" t="str">
        <x:v>descricao</x:v>
      </x:c>
      <x:c r="H166" s="35" t="n">
        <x:f>IFERROR(E166/F166,"")</x:f>
        <x:v>13.600383019470156</x:v>
      </x:c>
      <x:c r="I166" s="17" t="str">
        <x:v>Precificado</x:v>
      </x:c>
    </x:row>
    <x:row r="167">
      <x:c r="A167" s="16" t="n">
        <x:v>167</x:v>
      </x:c>
      <x:c r="B167" s="21" t="str">
        <x:v>001.008.001.000.55</x:v>
      </x:c>
      <x:c r="C167" s="57" t="str">
        <x:v>Perfil CordLock Cabecote 38mm .PINTAR PLC38-27/ALPEX6534-6m  (1kg.= 3,133m)</x:v>
      </x:c>
      <x:c r="D167" s="21" t="str">
        <x:v>Alumínio cru</x:v>
      </x:c>
      <x:c r="E167" s="24" t="n">
        <x:v>34.74</x:v>
      </x:c>
      <x:c r="F167" s="34" t="n">
        <x:v>3.133</x:v>
      </x:c>
      <x:c r="G167" s="21" t="str">
        <x:v>descricao</x:v>
      </x:c>
      <x:c r="H167" s="35" t="n">
        <x:f>IFERROR(E167/F167,"")</x:f>
        <x:v>11.08841366102777</x:v>
      </x:c>
      <x:c r="I167" s="17" t="str">
        <x:v>Precificado</x:v>
      </x:c>
    </x:row>
    <x:row r="168">
      <x:c r="A168" s="16" t="n">
        <x:v>168</x:v>
      </x:c>
      <x:c r="B168" s="21" t="str">
        <x:v>PS.000.483</x:v>
      </x:c>
      <x:c r="C168" s="57" t="str">
        <x:v>Perfil CxRollo ProMax Branco7,00m(4e6m)UX-0102(TMR4188-7)1kg.=0,447m (a.c.t.d) toldo. 03/24 q.a.f.l.ss cn</x:v>
      </x:c>
      <x:c r="D168" s="21" t="str">
        <x:v>Alumínio cru</x:v>
      </x:c>
      <x:c r="E168" s="24" t="n">
        <x:v>34.74</x:v>
      </x:c>
      <x:c r="F168" s="34" t="n">
        <x:v>0.447</x:v>
      </x:c>
      <x:c r="G168" s="21" t="str">
        <x:v>descricao</x:v>
      </x:c>
      <x:c r="H168" s="35" t="n">
        <x:f>IFERROR(E168/F168,"")</x:f>
        <x:v>77.71812080536913</x:v>
      </x:c>
      <x:c r="I168" s="17" t="str">
        <x:v>Precificado</x:v>
      </x:c>
    </x:row>
    <x:row r="169">
      <x:c r="A169" s="16" t="n">
        <x:v>169</x:v>
      </x:c>
      <x:c r="B169" s="21" t="str">
        <x:v>4008001188</x:v>
      </x:c>
      <x:c r="C169" s="57" t="str">
        <x:v>Perfil CxRollo ProMax Bronze4,00m(6e7m)UX-0102(TMR4188-4)1kg.=0,447m (a.c.t.d)  toldo. kg. q.a.ss.c.n</x:v>
      </x:c>
      <x:c r="D169" s="21" t="str">
        <x:v>Alumínio cru</x:v>
      </x:c>
      <x:c r="E169" s="24" t="n">
        <x:v>34.74</x:v>
      </x:c>
      <x:c r="F169" s="34" t="n">
        <x:v>0.447</x:v>
      </x:c>
      <x:c r="G169" s="21" t="str">
        <x:v>descricao</x:v>
      </x:c>
      <x:c r="H169" s="35" t="n">
        <x:f>IFERROR(E169/F169,"")</x:f>
        <x:v>77.71812080536913</x:v>
      </x:c>
      <x:c r="I169" s="17" t="str">
        <x:v>Precificado</x:v>
      </x:c>
    </x:row>
    <x:row r="170">
      <x:c r="A170" s="16" t="n">
        <x:v>170</x:v>
      </x:c>
      <x:c r="B170" s="21" t="str">
        <x:v>1008168001</x:v>
      </x:c>
      <x:c r="C170" s="57" t="str">
        <x:v>Perfil Deslizante Superior Para Rollo Movel (alpex0776) Branco bco (B) {1kg.=2,296ml}f0791  PCT6 ALP</x:v>
      </x:c>
      <x:c r="D170" s="21" t="str">
        <x:v>Branco</x:v>
      </x:c>
      <x:c r="E170" s="24" t="n">
        <x:v>40.57</x:v>
      </x:c>
      <x:c r="F170" s="34" t="n">
        <x:v>2.296</x:v>
      </x:c>
      <x:c r="G170" s="21" t="str">
        <x:v>descricao</x:v>
      </x:c>
      <x:c r="H170" s="35" t="n">
        <x:f>IFERROR(E170/F170,"")</x:f>
        <x:v>17.6698606271777</x:v>
      </x:c>
      <x:c r="I170" s="17" t="str">
        <x:v>Precificado</x:v>
      </x:c>
    </x:row>
    <x:row r="171">
      <x:c r="A171" s="16" t="n">
        <x:v>171</x:v>
      </x:c>
      <x:c r="B171" s="21" t="str">
        <x:v>001.008.004.000.1</x:v>
      </x:c>
      <x:c r="C171" s="57" t="str">
        <x:v>Perfil Eixo PH50 Alpex0654-6m (A) (1Kg.=10,91306ml)</x:v>
      </x:c>
      <x:c r="D171" s="21" t="str">
        <x:v>Alumínio cru</x:v>
      </x:c>
      <x:c r="E171" s="24" t="n">
        <x:v>34.74</x:v>
      </x:c>
      <x:c r="F171" s="34" t="n">
        <x:v>10.91306</x:v>
      </x:c>
      <x:c r="G171" s="21" t="str">
        <x:v>descricao</x:v>
      </x:c>
      <x:c r="H171" s="35" t="n">
        <x:f>IFERROR(E171/F171,"")</x:f>
        <x:v>3.1833417941438977</x:v>
      </x:c>
      <x:c r="I171" s="17" t="str">
        <x:v>Precificado</x:v>
      </x:c>
    </x:row>
    <x:row r="172">
      <x:c r="A172" s="16" t="n">
        <x:v>172</x:v>
      </x:c>
      <x:c r="B172" s="21" t="str">
        <x:v>1008002000</x:v>
      </x:c>
      <x:c r="C172" s="57" t="str">
        <x:v>Perfil Eixo PHA25/16 Easy-Drive Cru Alpex1487-4,88m  {1Kg.=8,145ml}</x:v>
      </x:c>
      <x:c r="D172" s="21" t="str">
        <x:v>Alumínio cru</x:v>
      </x:c>
      <x:c r="E172" s="24" t="n">
        <x:v>34.74</x:v>
      </x:c>
      <x:c r="F172" s="34" t="n">
        <x:v>8.145</x:v>
      </x:c>
      <x:c r="G172" s="21" t="str">
        <x:v>descricao</x:v>
      </x:c>
      <x:c r="H172" s="35" t="n">
        <x:f>IFERROR(E172/F172,"")</x:f>
        <x:v>4.265193370165746</x:v>
      </x:c>
      <x:c r="I172" s="17" t="str">
        <x:v>Precificado</x:v>
      </x:c>
    </x:row>
    <x:row r="173">
      <x:c r="A173" s="16" t="n">
        <x:v>173</x:v>
      </x:c>
      <x:c r="B173" s="21" t="str">
        <x:v>001.008.004.000.2</x:v>
      </x:c>
      <x:c r="C173" s="57" t="str">
        <x:v>Perfil Eixo PHA25/16 Standart Cru Alpex0359-4,88m (B) {1Kg.=24,535ml}</x:v>
      </x:c>
      <x:c r="D173" s="21" t="str">
        <x:v>Alumínio cru</x:v>
      </x:c>
      <x:c r="E173" s="24" t="n">
        <x:v>34.74</x:v>
      </x:c>
      <x:c r="F173" s="34" t="n">
        <x:v>24.535</x:v>
      </x:c>
      <x:c r="G173" s="21" t="str">
        <x:v>descricao</x:v>
      </x:c>
      <x:c r="H173" s="35" t="n">
        <x:f>IFERROR(E173/F173,"")</x:f>
        <x:v>1.415936417362951</x:v>
      </x:c>
      <x:c r="I173" s="17" t="str">
        <x:v>Precificado</x:v>
      </x:c>
    </x:row>
    <x:row r="174">
      <x:c r="A174" s="16" t="n">
        <x:v>174</x:v>
      </x:c>
      <x:c r="B174" s="21" t="str">
        <x:v>PL200004</x:v>
      </x:c>
      <x:c r="C174" s="57" t="str">
        <x:v>Perfil Eixo Pvt Cru Alpex0313-6m  {1kg.=21,583m}</x:v>
      </x:c>
      <x:c r="D174" s="21" t="str">
        <x:v>Alumínio cru</x:v>
      </x:c>
      <x:c r="E174" s="24" t="n">
        <x:v>34.74</x:v>
      </x:c>
      <x:c r="F174" s="34" t="n">
        <x:v>21.583</x:v>
      </x:c>
      <x:c r="G174" s="21" t="str">
        <x:v>descricao</x:v>
      </x:c>
      <x:c r="H174" s="35" t="n">
        <x:f>IFERROR(E174/F174,"")</x:f>
        <x:v>1.6096001482648383</x:v>
      </x:c>
      <x:c r="I174" s="17" t="str">
        <x:v>Precificado</x:v>
      </x:c>
    </x:row>
    <x:row r="175">
      <x:c r="A175" s="16" t="n">
        <x:v>175</x:v>
      </x:c>
      <x:c r="B175" s="21" t="str">
        <x:v>001.008.002.000.8</x:v>
      </x:c>
      <x:c r="C175" s="57" t="str">
        <x:v>Perfil Eixo Rom. Easy-Drive /??. (5187) (1kg.=22,1ml) PCT1 {Q.A.F.L analise Ivan}</x:v>
      </x:c>
      <x:c r="D175" s="21" t="str">
        <x:v>Alumínio cru</x:v>
      </x:c>
      <x:c r="E175" s="24" t="n">
        <x:v>34.74</x:v>
      </x:c>
      <x:c r="F175" s="34" t="n">
        <x:v>22.1</x:v>
      </x:c>
      <x:c r="G175" s="21" t="str">
        <x:v>descricao</x:v>
      </x:c>
      <x:c r="H175" s="35" t="n">
        <x:f>IFERROR(E175/F175,"")</x:f>
        <x:v>1.571945701357466</x:v>
      </x:c>
      <x:c r="I175" s="17" t="str">
        <x:v>Precificado</x:v>
      </x:c>
    </x:row>
    <x:row r="176">
      <x:c r="A176" s="16" t="n">
        <x:v>176</x:v>
      </x:c>
      <x:c r="B176" s="21" t="str">
        <x:v>PLC00080</x:v>
      </x:c>
      <x:c r="C176" s="57" t="str">
        <x:v>Perfil Eixo Rom/Cel 38mm PLC38-38/6452-6m (B) (1kg.=16,287m)</x:v>
      </x:c>
      <x:c r="D176" s="21" t="str">
        <x:v>Alumínio cru</x:v>
      </x:c>
      <x:c r="E176" s="24" t="n">
        <x:v>34.74</x:v>
      </x:c>
      <x:c r="F176" s="34" t="n">
        <x:v>16.287</x:v>
      </x:c>
      <x:c r="G176" s="21" t="str">
        <x:v>descricao</x:v>
      </x:c>
      <x:c r="H176" s="35" t="n">
        <x:f>IFERROR(E176/F176,"")</x:f>
        <x:v>2.132989500828882</x:v>
      </x:c>
      <x:c r="I176" s="17" t="str">
        <x:v>Precificado</x:v>
      </x:c>
    </x:row>
    <x:row r="177">
      <x:c r="A177" s="16" t="n">
        <x:v>177</x:v>
      </x:c>
      <x:c r="B177" s="21" t="str">
        <x:v>PC.000.0124</x:v>
      </x:c>
      <x:c r="C177" s="57" t="str">
        <x:v>Perfil Fascia L .PINTAR RC4039/6565- 6m (1kg.=1,212734m) ml}a F0791 F,,</x:v>
      </x:c>
      <x:c r="D177" s="21" t="str">
        <x:v>Alumínio cru</x:v>
      </x:c>
      <x:c r="E177" s="24" t="n">
        <x:v>34.74</x:v>
      </x:c>
      <x:c r="F177" s="34" t="n">
        <x:v>1.212734</x:v>
      </x:c>
      <x:c r="G177" s="21" t="str">
        <x:v>descricao</x:v>
      </x:c>
      <x:c r="H177" s="35" t="n">
        <x:f>IFERROR(E177/F177,"")</x:f>
        <x:v>28.646018005597274</x:v>
      </x:c>
      <x:c r="I177" s="17" t="str">
        <x:v>Precificado</x:v>
      </x:c>
    </x:row>
    <x:row r="178">
      <x:c r="A178" s="16" t="n">
        <x:v>178</x:v>
      </x:c>
      <x:c r="B178" s="21" t="str">
        <x:v>PC.000.470</x:v>
      </x:c>
      <x:c r="C178" s="57" t="str">
        <x:v>Perfil Fascia L Anodizado RC4039/Alpex 6565-6m (1kg.=1,216m)q.a.ss cinza</x:v>
      </x:c>
      <x:c r="D178" s="21" t="str">
        <x:v>Cinza</x:v>
      </x:c>
      <x:c r="E178" s="24" t="n">
        <x:v>42.61</x:v>
      </x:c>
      <x:c r="F178" s="34" t="n">
        <x:v>1.216</x:v>
      </x:c>
      <x:c r="G178" s="21" t="str">
        <x:v>descricao</x:v>
      </x:c>
      <x:c r="H178" s="35" t="n">
        <x:f>IFERROR(E178/F178,"")</x:f>
        <x:v>35.04111842105263</x:v>
      </x:c>
      <x:c r="I178" s="17" t="str">
        <x:v>Precificado</x:v>
      </x:c>
    </x:row>
    <x:row r="179">
      <x:c r="A179" s="16" t="n">
        <x:v>179</x:v>
      </x:c>
      <x:c r="B179" s="21" t="str">
        <x:v>PC.000.475</x:v>
      </x:c>
      <x:c r="C179" s="57" t="str">
        <x:v>Perfil Fascia L Bege RC4039/6565-6m (1kg.=1,216m)</x:v>
      </x:c>
      <x:c r="D179" s="21" t="str">
        <x:v>Bege</x:v>
      </x:c>
      <x:c r="E179" s="24" t="n">
        <x:v>44.39</x:v>
      </x:c>
      <x:c r="F179" s="34" t="n">
        <x:v>1.216</x:v>
      </x:c>
      <x:c r="G179" s="21" t="str">
        <x:v>descricao</x:v>
      </x:c>
      <x:c r="H179" s="35" t="n">
        <x:f>IFERROR(E179/F179,"")</x:f>
        <x:v>36.504934210526315</x:v>
      </x:c>
      <x:c r="I179" s="17" t="str">
        <x:v>Precificado</x:v>
      </x:c>
    </x:row>
    <x:row r="180">
      <x:c r="A180" s="16" t="n">
        <x:v>180</x:v>
      </x:c>
      <x:c r="B180" s="21" t="str">
        <x:v>PC.000.474</x:v>
      </x:c>
      <x:c r="C180" s="57" t="str">
        <x:v>Perfil Fascia L Branco RC4039/6565-6m (1kg.=1,216m)</x:v>
      </x:c>
      <x:c r="D180" s="21" t="str">
        <x:v>Branco</x:v>
      </x:c>
      <x:c r="E180" s="24" t="n">
        <x:v>40.57</x:v>
      </x:c>
      <x:c r="F180" s="34" t="n">
        <x:v>1.216</x:v>
      </x:c>
      <x:c r="G180" s="21" t="str">
        <x:v>descricao</x:v>
      </x:c>
      <x:c r="H180" s="35" t="n">
        <x:f>IFERROR(E180/F180,"")</x:f>
        <x:v>33.36348684210527</x:v>
      </x:c>
      <x:c r="I180" s="17" t="str">
        <x:v>Precificado</x:v>
      </x:c>
    </x:row>
    <x:row r="181">
      <x:c r="A181" s="16" t="n">
        <x:v>181</x:v>
      </x:c>
      <x:c r="B181" s="21" t="str">
        <x:v>PC.000.473</x:v>
      </x:c>
      <x:c r="C181" s="57" t="str">
        <x:v>Perfil Fascia L Bronze  RC4039/6565-5,8m (1kg.=1,216m)</x:v>
      </x:c>
      <x:c r="D181" s="21" t="str">
        <x:v>Bronze</x:v>
      </x:c>
      <x:c r="E181" s="24" t="n">
        <x:v>42.94</x:v>
      </x:c>
      <x:c r="F181" s="34" t="n">
        <x:v>1.216</x:v>
      </x:c>
      <x:c r="G181" s="21" t="str">
        <x:v>descricao</x:v>
      </x:c>
      <x:c r="H181" s="35" t="n">
        <x:f>IFERROR(E181/F181,"")</x:f>
        <x:v>35.3125</x:v>
      </x:c>
      <x:c r="I181" s="17" t="str">
        <x:v>Precificado</x:v>
      </x:c>
    </x:row>
    <x:row r="182">
      <x:c r="A182" s="16" t="n">
        <x:v>182</x:v>
      </x:c>
      <x:c r="B182" s="21" t="str">
        <x:v>PC.000.868</x:v>
      </x:c>
      <x:c r="C182" s="57" t="str">
        <x:v>Perfil Fascia L Cinza RC4039/Alpex 6565-6M (1kg.=1,216m) ]</x:v>
      </x:c>
      <x:c r="D182" s="21" t="str">
        <x:v>Cinza</x:v>
      </x:c>
      <x:c r="E182" s="24" t="n">
        <x:v>42.61</x:v>
      </x:c>
      <x:c r="F182" s="34" t="n">
        <x:v>1.216</x:v>
      </x:c>
      <x:c r="G182" s="21" t="str">
        <x:v>descricao</x:v>
      </x:c>
      <x:c r="H182" s="35" t="n">
        <x:f>IFERROR(E182/F182,"")</x:f>
        <x:v>35.04111842105263</x:v>
      </x:c>
      <x:c r="I182" s="17" t="str">
        <x:v>Precificado</x:v>
      </x:c>
    </x:row>
    <x:row r="183">
      <x:c r="A183" s="16" t="n">
        <x:v>183</x:v>
      </x:c>
      <x:c r="B183" s="21" t="str">
        <x:v>PC.000.472</x:v>
      </x:c>
      <x:c r="C183" s="57" t="str">
        <x:v>Perfil Fascia L Grafite RC4039/6565-5,8m (1kg.=1,216m)</x:v>
      </x:c>
      <x:c r="D183" s="21" t="str">
        <x:v>Grafite</x:v>
      </x:c>
      <x:c r="E183" s="24" t="n">
        <x:v>41.980000000000004</x:v>
      </x:c>
      <x:c r="F183" s="34" t="n">
        <x:v>1.216</x:v>
      </x:c>
      <x:c r="G183" s="21" t="str">
        <x:v>descricao</x:v>
      </x:c>
      <x:c r="H183" s="35" t="n">
        <x:f>IFERROR(E183/F183,"")</x:f>
        <x:v>34.52302631578948</x:v>
      </x:c>
      <x:c r="I183" s="17" t="str">
        <x:v>Precificado</x:v>
      </x:c>
    </x:row>
    <x:row r="184">
      <x:c r="A184" s="16" t="n">
        <x:v>184</x:v>
      </x:c>
      <x:c r="B184" s="21" t="str">
        <x:v>PC.000.471</x:v>
      </x:c>
      <x:c r="C184" s="57" t="str">
        <x:v>Perfil Fascia L Preto RC4039/6565-6m (1kg.=1,216m)</x:v>
      </x:c>
      <x:c r="D184" s="21" t="str">
        <x:v>Preto</x:v>
      </x:c>
      <x:c r="E184" s="24" t="n">
        <x:v>39.74</x:v>
      </x:c>
      <x:c r="F184" s="34" t="n">
        <x:v>1.216</x:v>
      </x:c>
      <x:c r="G184" s="21" t="str">
        <x:v>descricao</x:v>
      </x:c>
      <x:c r="H184" s="35" t="n">
        <x:f>IFERROR(E184/F184,"")</x:f>
        <x:v>32.68092105263158</x:v>
      </x:c>
      <x:c r="I184" s="17" t="str">
        <x:v>Precificado</x:v>
      </x:c>
    </x:row>
    <x:row r="185">
      <x:c r="A185" s="16" t="n">
        <x:v>185</x:v>
      </x:c>
      <x:c r="B185" s="21" t="str">
        <x:v>PC.000.055</x:v>
      </x:c>
      <x:c r="C185" s="57" t="str">
        <x:v>Perfil Fascia M (RC3080/Alpex 6564) Grafite gr (1kg.=2,33m) PCT5,8</x:v>
      </x:c>
      <x:c r="D185" s="21" t="str">
        <x:v>Grafite</x:v>
      </x:c>
      <x:c r="E185" s="24" t="n">
        <x:v>41.980000000000004</x:v>
      </x:c>
      <x:c r="F185" s="34" t="n">
        <x:v>2.33</x:v>
      </x:c>
      <x:c r="G185" s="21" t="str">
        <x:v>descricao</x:v>
      </x:c>
      <x:c r="H185" s="35" t="n">
        <x:f>IFERROR(E185/F185,"")</x:f>
        <x:v>18.01716738197425</x:v>
      </x:c>
      <x:c r="I185" s="17" t="str">
        <x:v>Precificado</x:v>
      </x:c>
    </x:row>
    <x:row r="186">
      <x:c r="A186" s="16" t="n">
        <x:v>186</x:v>
      </x:c>
      <x:c r="B186" s="21" t="str">
        <x:v>PC.000.056</x:v>
      </x:c>
      <x:c r="C186" s="57" t="str">
        <x:v>Perfil Fascia M (RC3080/Alpex 6564) Preto pt (1kg.=2,33m) (B) PCT5,80 1/20</x:v>
      </x:c>
      <x:c r="D186" s="21" t="str">
        <x:v>Preto</x:v>
      </x:c>
      <x:c r="E186" s="24" t="n">
        <x:v>39.74</x:v>
      </x:c>
      <x:c r="F186" s="34" t="n">
        <x:v>2.33</x:v>
      </x:c>
      <x:c r="G186" s="21" t="str">
        <x:v>descricao</x:v>
      </x:c>
      <x:c r="H186" s="35" t="n">
        <x:f>IFERROR(E186/F186,"")</x:f>
        <x:v>17.05579399141631</x:v>
      </x:c>
      <x:c r="I186" s="17" t="str">
        <x:v>Precificado</x:v>
      </x:c>
    </x:row>
    <x:row r="187">
      <x:c r="A187" s="16" t="n">
        <x:v>187</x:v>
      </x:c>
      <x:c r="B187" s="21" t="str">
        <x:v>PC.000.0121</x:v>
      </x:c>
      <x:c r="C187" s="57" t="str">
        <x:v>Perfil Fascia M .PINTAR RC3080/alpex6564-6m (1kg.=2,665698m) ml}a F0791 r.s.p.2023pm</x:v>
      </x:c>
      <x:c r="D187" s="21" t="str">
        <x:v>Alumínio cru</x:v>
      </x:c>
      <x:c r="E187" s="24" t="n">
        <x:v>34.74</x:v>
      </x:c>
      <x:c r="F187" s="34" t="n">
        <x:v>2.665698</x:v>
      </x:c>
      <x:c r="G187" s="21" t="str">
        <x:v>descricao</x:v>
      </x:c>
      <x:c r="H187" s="35" t="n">
        <x:f>IFERROR(E187/F187,"")</x:f>
        <x:v>13.032233958985604</x:v>
      </x:c>
      <x:c r="I187" s="17" t="str">
        <x:v>Precificado</x:v>
      </x:c>
    </x:row>
    <x:row r="188">
      <x:c r="A188" s="16" t="n">
        <x:v>188</x:v>
      </x:c>
      <x:c r="B188" s="21" t="str">
        <x:v>PC.000.054</x:v>
      </x:c>
      <x:c r="C188" s="57" t="str">
        <x:v>Perfil Fascia M Anodizado RC3080/6564-5,8m (1kg.=2,33m) q.a.ss cinza</x:v>
      </x:c>
      <x:c r="D188" s="21" t="str">
        <x:v>Cinza</x:v>
      </x:c>
      <x:c r="E188" s="24" t="n">
        <x:v>42.61</x:v>
      </x:c>
      <x:c r="F188" s="34" t="n">
        <x:v>2.33</x:v>
      </x:c>
      <x:c r="G188" s="21" t="str">
        <x:v>descricao</x:v>
      </x:c>
      <x:c r="H188" s="35" t="n">
        <x:f>IFERROR(E188/F188,"")</x:f>
        <x:v>18.28755364806867</x:v>
      </x:c>
      <x:c r="I188" s="17" t="str">
        <x:v>Precificado</x:v>
      </x:c>
    </x:row>
    <x:row r="189">
      <x:c r="A189" s="16" t="n">
        <x:v>189</x:v>
      </x:c>
      <x:c r="B189" s="21" t="str">
        <x:v>PC.000.058</x:v>
      </x:c>
      <x:c r="C189" s="57" t="str">
        <x:v>Perfil Fascia M Bege RC3080/6564-6m (1kg.=2,33m)</x:v>
      </x:c>
      <x:c r="D189" s="21" t="str">
        <x:v>Bege</x:v>
      </x:c>
      <x:c r="E189" s="24" t="n">
        <x:v>44.39</x:v>
      </x:c>
      <x:c r="F189" s="34" t="n">
        <x:v>2.33</x:v>
      </x:c>
      <x:c r="G189" s="21" t="str">
        <x:v>descricao</x:v>
      </x:c>
      <x:c r="H189" s="35" t="n">
        <x:f>IFERROR(E189/F189,"")</x:f>
        <x:v>19.051502145922747</x:v>
      </x:c>
      <x:c r="I189" s="17" t="str">
        <x:v>Precificado</x:v>
      </x:c>
    </x:row>
    <x:row r="190">
      <x:c r="A190" s="16" t="n">
        <x:v>190</x:v>
      </x:c>
      <x:c r="B190" s="21" t="str">
        <x:v>PC.000.059</x:v>
      </x:c>
      <x:c r="C190" s="57" t="str">
        <x:v>Perfil Fascia M Branco RC3080/Alpex 6564-5,8m (1kg.=2,33m) PCT5,80 r.s.p.</x:v>
      </x:c>
      <x:c r="D190" s="21" t="str">
        <x:v>Branco</x:v>
      </x:c>
      <x:c r="E190" s="24" t="n">
        <x:v>40.57</x:v>
      </x:c>
      <x:c r="F190" s="34" t="n">
        <x:v>2.33</x:v>
      </x:c>
      <x:c r="G190" s="21" t="str">
        <x:v>descricao</x:v>
      </x:c>
      <x:c r="H190" s="35" t="n">
        <x:f>IFERROR(E190/F190,"")</x:f>
        <x:v>17.412017167381975</x:v>
      </x:c>
      <x:c r="I190" s="17" t="str">
        <x:v>Precificado</x:v>
      </x:c>
    </x:row>
    <x:row r="191">
      <x:c r="A191" s="16" t="n">
        <x:v>191</x:v>
      </x:c>
      <x:c r="B191" s="21" t="str">
        <x:v>PC.000.057</x:v>
      </x:c>
      <x:c r="C191" s="57" t="str">
        <x:v>Perfil Fascia M Bronze RC3080/6564-5,8m (1kg.=2,33m)</x:v>
      </x:c>
      <x:c r="D191" s="21" t="str">
        <x:v>Bronze</x:v>
      </x:c>
      <x:c r="E191" s="24" t="n">
        <x:v>42.94</x:v>
      </x:c>
      <x:c r="F191" s="34" t="n">
        <x:v>2.33</x:v>
      </x:c>
      <x:c r="G191" s="21" t="str">
        <x:v>descricao</x:v>
      </x:c>
      <x:c r="H191" s="35" t="n">
        <x:f>IFERROR(E191/F191,"")</x:f>
        <x:v>18.429184549356222</x:v>
      </x:c>
      <x:c r="I191" s="17" t="str">
        <x:v>Precificado</x:v>
      </x:c>
    </x:row>
    <x:row r="192">
      <x:c r="A192" s="16" t="n">
        <x:v>192</x:v>
      </x:c>
      <x:c r="B192" s="21" t="str">
        <x:v>PC.000.867</x:v>
      </x:c>
      <x:c r="C192" s="57" t="str">
        <x:v>Perfil Fascia M Cinza RC3080/6564-5,8m  (1kg.=2,33m)</x:v>
      </x:c>
      <x:c r="D192" s="21" t="str">
        <x:v>Cinza</x:v>
      </x:c>
      <x:c r="E192" s="24" t="n">
        <x:v>42.61</x:v>
      </x:c>
      <x:c r="F192" s="34" t="n">
        <x:v>2.33</x:v>
      </x:c>
      <x:c r="G192" s="21" t="str">
        <x:v>descricao</x:v>
      </x:c>
      <x:c r="H192" s="35" t="n">
        <x:f>IFERROR(E192/F192,"")</x:f>
        <x:v>18.28755364806867</x:v>
      </x:c>
      <x:c r="I192" s="17" t="str">
        <x:v>Precificado</x:v>
      </x:c>
    </x:row>
    <x:row r="193">
      <x:c r="A193" s="16" t="n">
        <x:v>193</x:v>
      </x:c>
      <x:c r="B193" s="21" t="str">
        <x:v>PS.000.467</x:v>
      </x:c>
      <x:c r="C193" s="57" t="str">
        <x:v>Perfil Guia AirZip 5.2x4.2cm Bronze 6m SIPLAN(24966002)(1kg.=1,28m) Pct48f (toldo) (Q.A.F.L. SS18/12) q.a.f.l repin tudo 5,2</x:v>
      </x:c>
      <x:c r="D193" s="21" t="str">
        <x:v>Bronze</x:v>
      </x:c>
      <x:c r="E193" s="24" t="n">
        <x:v>42.94</x:v>
      </x:c>
      <x:c r="F193" s="34" t="n">
        <x:v>1.28</x:v>
      </x:c>
      <x:c r="G193" s="21" t="str">
        <x:v>descricao</x:v>
      </x:c>
      <x:c r="H193" s="35" t="n">
        <x:f>IFERROR(E193/F193,"")</x:f>
        <x:v>33.546875</x:v>
      </x:c>
      <x:c r="I193" s="17" t="str">
        <x:v>Precificado</x:v>
      </x:c>
    </x:row>
    <x:row r="194">
      <x:c r="A194" s="16" t="n">
        <x:v>194</x:v>
      </x:c>
      <x:c r="B194" s="21" t="str">
        <x:v>PS.000.549</x:v>
      </x:c>
      <x:c r="C194" s="57" t="str">
        <x:v>Perfil Guia AirZip 5.2x4.2cm Bronze 6m UNILUX (24966002)(1kg.=1,28m) Pct48f(toldo. (Q.A.F.L) q.a.f.l repin tudo (())  5,2</x:v>
      </x:c>
      <x:c r="D194" s="21" t="str">
        <x:v>Bronze</x:v>
      </x:c>
      <x:c r="E194" s="24" t="n">
        <x:v>42.94</x:v>
      </x:c>
      <x:c r="F194" s="34" t="n">
        <x:v>1.28</x:v>
      </x:c>
      <x:c r="G194" s="21" t="str">
        <x:v>descricao</x:v>
      </x:c>
      <x:c r="H194" s="35" t="n">
        <x:f>IFERROR(E194/F194,"")</x:f>
        <x:v>33.546875</x:v>
      </x:c>
      <x:c r="I194" s="17" t="str">
        <x:v>Precificado</x:v>
      </x:c>
    </x:row>
    <x:row r="195">
      <x:c r="A195" s="16" t="n">
        <x:v>195</x:v>
      </x:c>
      <x:c r="B195" s="21" t="str">
        <x:v>TD.000.002</x:v>
      </x:c>
      <x:c r="C195" s="57" t="str">
        <x:v>Perfil Guia Ant. Screen Branco (80170542) 1kg.= F0791 F,,</x:v>
      </x:c>
      <x:c r="D195" s="21" t="str">
        <x:v>Branco</x:v>
      </x:c>
      <x:c r="E195" s="24" t="n">
        <x:v>40.57</x:v>
      </x:c>
      <x:c r="F195" s="34"/>
      <x:c r="G195" s="21" t="str">
        <x:v>sem-fator</x:v>
      </x:c>
      <x:c r="H195" s="35" t="str">
        <x:f>IFERROR(E195/F195,"")</x:f>
      </x:c>
      <x:c r="I195" s="17" t="str">
        <x:v>Pendente</x:v>
      </x:c>
    </x:row>
    <x:row r="196">
      <x:c r="A196" s="16" t="n">
        <x:v>196</x:v>
      </x:c>
      <x:c r="B196" s="21" t="str">
        <x:v>PS.000.053</x:v>
      </x:c>
      <x:c r="C196" s="57" t="str">
        <x:v>Perfil Guia Haste 10Mm 3,00M (24103050) Pct3f 02/23 (toldo.) 06/24 q.a.f.l.ss 4.5.075.1991.</x:v>
      </x:c>
      <x:c r="D196" s="21" t="str">
        <x:v>Alumínio cru</x:v>
      </x:c>
      <x:c r="E196" s="24" t="n">
        <x:v>34.74</x:v>
      </x:c>
      <x:c r="F196" s="34"/>
      <x:c r="G196" s="21" t="str">
        <x:v>sem-fator</x:v>
      </x:c>
      <x:c r="H196" s="35" t="str">
        <x:f>IFERROR(E196/F196,"")</x:f>
      </x:c>
      <x:c r="I196" s="17" t="str">
        <x:v>Pendente</x:v>
      </x:c>
    </x:row>
    <x:row r="197">
      <x:c r="A197" s="16" t="n">
        <x:v>197</x:v>
      </x:c>
      <x:c r="B197" s="21" t="str">
        <x:v>001.008.002.001.30 - 5995-4-5 BC</x:v>
      </x:c>
      <x:c r="C197" s="57" t="str">
        <x:v>Perfil Guia Lat.Teto Branco 4,5m (e6m) bco (REI.477/ALPEX6531-4,5) (B) {1KG.=2,92ml}</x:v>
      </x:c>
      <x:c r="D197" s="21" t="str">
        <x:v>Branco</x:v>
      </x:c>
      <x:c r="E197" s="24" t="n">
        <x:v>40.57</x:v>
      </x:c>
      <x:c r="F197" s="34" t="n">
        <x:v>2.92</x:v>
      </x:c>
      <x:c r="G197" s="21" t="str">
        <x:v>descricao</x:v>
      </x:c>
      <x:c r="H197" s="35" t="n">
        <x:f>IFERROR(E197/F197,"")</x:f>
        <x:v>13.893835616438357</x:v>
      </x:c>
      <x:c r="I197" s="17" t="str">
        <x:v>Precificado</x:v>
      </x:c>
    </x:row>
    <x:row r="198">
      <x:c r="A198" s="16" t="n">
        <x:v>198</x:v>
      </x:c>
      <x:c r="B198" s="21" t="str">
        <x:v>001.008.002.001.30 - 5995 BC</x:v>
      </x:c>
      <x:c r="C198" s="57" t="str">
        <x:v>Perfil Guia Lat.Teto Branco 6m (e4,5m) bco (REI.477/ALPEX6531-6)  {1KG.=3,069ml}</x:v>
      </x:c>
      <x:c r="D198" s="21" t="str">
        <x:v>Branco</x:v>
      </x:c>
      <x:c r="E198" s="24" t="n">
        <x:v>40.57</x:v>
      </x:c>
      <x:c r="F198" s="34" t="n">
        <x:v>3.069</x:v>
      </x:c>
      <x:c r="G198" s="21" t="str">
        <x:v>descricao</x:v>
      </x:c>
      <x:c r="H198" s="35" t="n">
        <x:f>IFERROR(E198/F198,"")</x:f>
        <x:v>13.219289670902574</x:v>
      </x:c>
      <x:c r="I198" s="17" t="str">
        <x:v>Precificado</x:v>
      </x:c>
    </x:row>
    <x:row r="199">
      <x:c r="A199" s="16" t="n">
        <x:v>199</x:v>
      </x:c>
      <x:c r="B199" s="21" t="str">
        <x:v>001.008.002.001.301- 5995-4-5 BZ</x:v>
      </x:c>
      <x:c r="C199" s="57" t="str">
        <x:v>Perfil Guia Lat.Teto Bronze 4,5m  (e6m) bz  (REI.477/ALPEX6531-4,5) {1KG.=2,92ml}</x:v>
      </x:c>
      <x:c r="D199" s="21" t="str">
        <x:v>Bronze</x:v>
      </x:c>
      <x:c r="E199" s="24" t="n">
        <x:v>42.94</x:v>
      </x:c>
      <x:c r="F199" s="34" t="n">
        <x:v>2.92</x:v>
      </x:c>
      <x:c r="G199" s="21" t="str">
        <x:v>descricao</x:v>
      </x:c>
      <x:c r="H199" s="35" t="n">
        <x:f>IFERROR(E199/F199,"")</x:f>
        <x:v>14.705479452054794</x:v>
      </x:c>
      <x:c r="I199" s="17" t="str">
        <x:v>Precificado</x:v>
      </x:c>
    </x:row>
    <x:row r="200">
      <x:c r="A200" s="16" t="n">
        <x:v>200</x:v>
      </x:c>
      <x:c r="B200" s="21" t="str">
        <x:v>001.008.002.001.301- 5995 BZ</x:v>
      </x:c>
      <x:c r="C200" s="57" t="str">
        <x:v>Perfil Guia Lat.Teto Bronze 6m (e4,5m) bz (REI.477/ALPEX6531-6) (B) {1KG.=3,069ml}</x:v>
      </x:c>
      <x:c r="D200" s="21" t="str">
        <x:v>Bronze</x:v>
      </x:c>
      <x:c r="E200" s="24" t="n">
        <x:v>42.94</x:v>
      </x:c>
      <x:c r="F200" s="34" t="n">
        <x:v>3.069</x:v>
      </x:c>
      <x:c r="G200" s="21" t="str">
        <x:v>descricao</x:v>
      </x:c>
      <x:c r="H200" s="35" t="n">
        <x:f>IFERROR(E200/F200,"")</x:f>
        <x:v>13.991528185076572</x:v>
      </x:c>
      <x:c r="I200" s="17" t="str">
        <x:v>Precificado</x:v>
      </x:c>
    </x:row>
    <x:row r="201">
      <x:c r="A201" s="16" t="n">
        <x:v>201</x:v>
      </x:c>
      <x:c r="B201" s="21" t="str">
        <x:v>001.008.002.001.46 -5995 4.5 CRU</x:v>
      </x:c>
      <x:c r="C201" s="57" t="str">
        <x:v>Perfil Guia Lat.Teto Pintar 4,50m  (6m) pct (REI.477/ALPEX6531-4,5) {1KG.=2,968827ml}a</x:v>
      </x:c>
      <x:c r="D201" s="21" t="str">
        <x:v>Alumínio cru</x:v>
      </x:c>
      <x:c r="E201" s="24" t="n">
        <x:v>34.74</x:v>
      </x:c>
      <x:c r="F201" s="34" t="n">
        <x:v>2.968827</x:v>
      </x:c>
      <x:c r="G201" s="21" t="str">
        <x:v>descricao</x:v>
      </x:c>
      <x:c r="H201" s="35" t="n">
        <x:f>IFERROR(E201/F201,"")</x:f>
        <x:v>11.701591234517876</x:v>
      </x:c>
      <x:c r="I201" s="17" t="str">
        <x:v>Precificado</x:v>
      </x:c>
    </x:row>
    <x:row r="202">
      <x:c r="A202" s="16" t="n">
        <x:v>202</x:v>
      </x:c>
      <x:c r="B202" s="21" t="str">
        <x:v>001.008.002.001.46 -5995 CRU</x:v>
      </x:c>
      <x:c r="C202" s="57" t="str">
        <x:v>Perfil Guia Lat.Teto Pintar 6m (e4,5m) pct  (REI.477/ALPEX6531-6) {1KG.=2,967848ml}a</x:v>
      </x:c>
      <x:c r="D202" s="21" t="str">
        <x:v>Alumínio cru</x:v>
      </x:c>
      <x:c r="E202" s="24" t="n">
        <x:v>34.74</x:v>
      </x:c>
      <x:c r="F202" s="34" t="n">
        <x:v>2.967848</x:v>
      </x:c>
      <x:c r="G202" s="21" t="str">
        <x:v>descricao</x:v>
      </x:c>
      <x:c r="H202" s="35" t="n">
        <x:f>IFERROR(E202/F202,"")</x:f>
        <x:v>11.70545122256935</x:v>
      </x:c>
      <x:c r="I202" s="17" t="str">
        <x:v>Precificado</x:v>
      </x:c>
    </x:row>
    <x:row r="203">
      <x:c r="A203" s="16" t="n">
        <x:v>203</x:v>
      </x:c>
      <x:c r="B203" s="21" t="str">
        <x:v>001.008.002.001.302 -5995-4-5 PT</x:v>
      </x:c>
      <x:c r="C203" s="57" t="str">
        <x:v>Perfil Guia Lat.Teto Preto 4,50m (5e6m) pt (REI.477/ALPEX6531-4,50) (B) {1KG.=2,92ml}</x:v>
      </x:c>
      <x:c r="D203" s="21" t="str">
        <x:v>Preto</x:v>
      </x:c>
      <x:c r="E203" s="24" t="n">
        <x:v>39.74</x:v>
      </x:c>
      <x:c r="F203" s="34" t="n">
        <x:v>2.92</x:v>
      </x:c>
      <x:c r="G203" s="21" t="str">
        <x:v>descricao</x:v>
      </x:c>
      <x:c r="H203" s="35" t="n">
        <x:f>IFERROR(E203/F203,"")</x:f>
        <x:v>13.60958904109589</x:v>
      </x:c>
      <x:c r="I203" s="17" t="str">
        <x:v>Precificado</x:v>
      </x:c>
    </x:row>
    <x:row r="204">
      <x:c r="A204" s="16" t="n">
        <x:v>204</x:v>
      </x:c>
      <x:c r="B204" s="21" t="str">
        <x:v>001.008.002.001.302 -5995. PT</x:v>
      </x:c>
      <x:c r="C204" s="57" t="str">
        <x:v>Perfil Guia Lat.Teto Preto 5m  (6e4,5m) pt (REI.477/ALPEX6531-5) {Fator/Kg3,07M}  {1KG.=3,097ml} Q.A.F.L</x:v>
      </x:c>
      <x:c r="D204" s="21" t="str">
        <x:v>Preto</x:v>
      </x:c>
      <x:c r="E204" s="24" t="n">
        <x:v>39.74</x:v>
      </x:c>
      <x:c r="F204" s="34" t="n">
        <x:v>3.07</x:v>
      </x:c>
      <x:c r="G204" s="21" t="str">
        <x:v>descricao</x:v>
      </x:c>
      <x:c r="H204" s="35" t="n">
        <x:f>IFERROR(E204/F204,"")</x:f>
        <x:v>12.944625407166125</x:v>
      </x:c>
      <x:c r="I204" s="17" t="str">
        <x:v>Precificado</x:v>
      </x:c>
    </x:row>
    <x:row r="205">
      <x:c r="A205" s="16" t="n">
        <x:v>205</x:v>
      </x:c>
      <x:c r="B205" s="21" t="str">
        <x:v>001.008.002.001.302 -5995 PT</x:v>
      </x:c>
      <x:c r="C205" s="57" t="str">
        <x:v>Perfil Guia Lat.Teto Preto 6m (5e4,5m) pt (REI.477/ALPEX6531-6) (A) {1KG.=3,097ml}</x:v>
      </x:c>
      <x:c r="D205" s="21" t="str">
        <x:v>Preto</x:v>
      </x:c>
      <x:c r="E205" s="24" t="n">
        <x:v>39.74</x:v>
      </x:c>
      <x:c r="F205" s="34" t="n">
        <x:v>3.097</x:v>
      </x:c>
      <x:c r="G205" s="21" t="str">
        <x:v>descricao</x:v>
      </x:c>
      <x:c r="H205" s="35" t="n">
        <x:f>IFERROR(E205/F205,"")</x:f>
        <x:v>12.831772683241848</x:v>
      </x:c>
      <x:c r="I205" s="17" t="str">
        <x:v>Precificado</x:v>
      </x:c>
    </x:row>
    <x:row r="206">
      <x:c r="A206" s="16" t="n">
        <x:v>206</x:v>
      </x:c>
      <x:c r="B206" s="21" t="str">
        <x:v>TD.000.003</x:v>
      </x:c>
      <x:c r="C206" s="57" t="str">
        <x:v>Perfil Guia Post. Screen Branco (80170034) 1kg.= F0791 F,,</x:v>
      </x:c>
      <x:c r="D206" s="21" t="str">
        <x:v>Branco</x:v>
      </x:c>
      <x:c r="E206" s="24" t="n">
        <x:v>40.57</x:v>
      </x:c>
      <x:c r="F206" s="34"/>
      <x:c r="G206" s="21" t="str">
        <x:v>sem-fator</x:v>
      </x:c>
      <x:c r="H206" s="35" t="str">
        <x:f>IFERROR(E206/F206,"")</x:f>
      </x:c>
      <x:c r="I206" s="17" t="str">
        <x:v>Pendente</x:v>
      </x:c>
    </x:row>
    <x:row r="207">
      <x:c r="A207" s="16" t="n">
        <x:v>207</x:v>
      </x:c>
      <x:c r="B207" s="21" t="str">
        <x:v>PC.000.417</x:v>
      </x:c>
      <x:c r="C207" s="57" t="str">
        <x:v>Perfil Haste Metalica Cru PCT6m (B) 1kg.=6,89m</x:v>
      </x:c>
      <x:c r="D207" s="21" t="str">
        <x:v>Alumínio cru</x:v>
      </x:c>
      <x:c r="E207" s="24" t="n">
        <x:v>34.74</x:v>
      </x:c>
      <x:c r="F207" s="34" t="n">
        <x:v>6.89</x:v>
      </x:c>
      <x:c r="G207" s="21" t="str">
        <x:v>descricao</x:v>
      </x:c>
      <x:c r="H207" s="35" t="n">
        <x:f>IFERROR(E207/F207,"")</x:f>
        <x:v>5.0420899854862125</x:v>
      </x:c>
      <x:c r="I207" s="17" t="str">
        <x:v>Precificado</x:v>
      </x:c>
    </x:row>
    <x:row r="208">
      <x:c r="A208" s="16" t="n">
        <x:v>208</x:v>
      </x:c>
      <x:c r="B208" s="21" t="str">
        <x:v>PLC00027</x:v>
      </x:c>
      <x:c r="C208" s="57" t="str">
        <x:v>Perfil Inferior 38mm (PLC38-02/alpex6455) Bege bg 6m (1kg.=3,57m)</x:v>
      </x:c>
      <x:c r="D208" s="21" t="str">
        <x:v>Bege</x:v>
      </x:c>
      <x:c r="E208" s="24" t="n">
        <x:v>44.39</x:v>
      </x:c>
      <x:c r="F208" s="34" t="n">
        <x:v>3.57</x:v>
      </x:c>
      <x:c r="G208" s="21" t="str">
        <x:v>descricao</x:v>
      </x:c>
      <x:c r="H208" s="35" t="n">
        <x:f>IFERROR(E208/F208,"")</x:f>
        <x:v>12.434173669467787</x:v>
      </x:c>
      <x:c r="I208" s="17" t="str">
        <x:v>Precificado</x:v>
      </x:c>
    </x:row>
    <x:row r="209">
      <x:c r="A209" s="16" t="n">
        <x:v>209</x:v>
      </x:c>
      <x:c r="B209" s="21" t="str">
        <x:v>PLC00023</x:v>
      </x:c>
      <x:c r="C209" s="57" t="str">
        <x:v>Perfil Inferior 38mm (PLC38-02/alpex6455) Branco bco (B) (1kg.=3,57m) pct6</x:v>
      </x:c>
      <x:c r="D209" s="21" t="str">
        <x:v>Branco</x:v>
      </x:c>
      <x:c r="E209" s="24" t="n">
        <x:v>40.57</x:v>
      </x:c>
      <x:c r="F209" s="34" t="n">
        <x:v>3.57</x:v>
      </x:c>
      <x:c r="G209" s="21" t="str">
        <x:v>descricao</x:v>
      </x:c>
      <x:c r="H209" s="35" t="n">
        <x:f>IFERROR(E209/F209,"")</x:f>
        <x:v>11.364145658263306</x:v>
      </x:c>
      <x:c r="I209" s="17" t="str">
        <x:v>Precificado</x:v>
      </x:c>
    </x:row>
    <x:row r="210">
      <x:c r="A210" s="16" t="n">
        <x:v>210</x:v>
      </x:c>
      <x:c r="B210" s="21" t="str">
        <x:v>PLC00026</x:v>
      </x:c>
      <x:c r="C210" s="57" t="str">
        <x:v>Perfil Inferior 38mm (PLC38-02/alpex6455) Bronze bz (1kg.=3,57m) 5,8m/6m</x:v>
      </x:c>
      <x:c r="D210" s="21" t="str">
        <x:v>Bronze</x:v>
      </x:c>
      <x:c r="E210" s="24" t="n">
        <x:v>42.94</x:v>
      </x:c>
      <x:c r="F210" s="34" t="n">
        <x:v>3.57</x:v>
      </x:c>
      <x:c r="G210" s="21" t="str">
        <x:v>descricao</x:v>
      </x:c>
      <x:c r="H210" s="35" t="n">
        <x:f>IFERROR(E210/F210,"")</x:f>
        <x:v>12.028011204481793</x:v>
      </x:c>
      <x:c r="I210" s="17" t="str">
        <x:v>Precificado</x:v>
      </x:c>
    </x:row>
    <x:row r="211">
      <x:c r="A211" s="16" t="n">
        <x:v>211</x:v>
      </x:c>
      <x:c r="B211" s="21" t="str">
        <x:v>PLC00025</x:v>
      </x:c>
      <x:c r="C211" s="57" t="str">
        <x:v>Perfil Inferior 38mm (PLC38-02/alpex6455) Cinza cz 6m (1kg.=3,57m)</x:v>
      </x:c>
      <x:c r="D211" s="21" t="str">
        <x:v>Cinza</x:v>
      </x:c>
      <x:c r="E211" s="24" t="n">
        <x:v>42.61</x:v>
      </x:c>
      <x:c r="F211" s="34" t="n">
        <x:v>3.57</x:v>
      </x:c>
      <x:c r="G211" s="21" t="str">
        <x:v>descricao</x:v>
      </x:c>
      <x:c r="H211" s="35" t="n">
        <x:f>IFERROR(E211/F211,"")</x:f>
        <x:v>11.935574229691877</x:v>
      </x:c>
      <x:c r="I211" s="17" t="str">
        <x:v>Precificado</x:v>
      </x:c>
    </x:row>
    <x:row r="212">
      <x:c r="A212" s="16" t="n">
        <x:v>212</x:v>
      </x:c>
      <x:c r="B212" s="21" t="str">
        <x:v>PLC000158</x:v>
      </x:c>
      <x:c r="C212" s="57" t="str">
        <x:v>Perfil Inferior 38mm (PLC38-02/alpex6455) PINTAR 1kg.=3,563 ml}a bg915085 bc86  bz87 cz930721 pt915089</x:v>
      </x:c>
      <x:c r="D212" s="21" t="str">
        <x:v>Alumínio cru</x:v>
      </x:c>
      <x:c r="E212" s="24" t="n">
        <x:v>34.74</x:v>
      </x:c>
      <x:c r="F212" s="34" t="n">
        <x:v>3.563</x:v>
      </x:c>
      <x:c r="G212" s="21" t="str">
        <x:v>descricao</x:v>
      </x:c>
      <x:c r="H212" s="35" t="n">
        <x:f>IFERROR(E212/F212,"")</x:f>
        <x:v>9.750210496772382</x:v>
      </x:c>
      <x:c r="I212" s="17" t="str">
        <x:v>Precificado</x:v>
      </x:c>
    </x:row>
    <x:row r="213">
      <x:c r="A213" s="16" t="n">
        <x:v>213</x:v>
      </x:c>
      <x:c r="B213" s="21" t="str">
        <x:v>PLC00024</x:v>
      </x:c>
      <x:c r="C213" s="57" t="str">
        <x:v>Perfil Inferior 38mm (PLC38-02/alpex6455) Preto pt 6m (1kg.=3,57m) pct6</x:v>
      </x:c>
      <x:c r="D213" s="21" t="str">
        <x:v>Preto</x:v>
      </x:c>
      <x:c r="E213" s="24" t="n">
        <x:v>39.74</x:v>
      </x:c>
      <x:c r="F213" s="34" t="n">
        <x:v>3.57</x:v>
      </x:c>
      <x:c r="G213" s="21" t="str">
        <x:v>descricao</x:v>
      </x:c>
      <x:c r="H213" s="35" t="n">
        <x:f>IFERROR(E213/F213,"")</x:f>
        <x:v>11.131652661064427</x:v>
      </x:c>
      <x:c r="I213" s="17" t="str">
        <x:v>Precificado</x:v>
      </x:c>
    </x:row>
    <x:row r="214">
      <x:c r="A214" s="16" t="n">
        <x:v>214</x:v>
      </x:c>
      <x:c r="B214" s="21" t="str">
        <x:v>PL200018</x:v>
      </x:c>
      <x:c r="C214" s="57" t="str">
        <x:v>Perfil Inferior Plissada (5851) Cor M.TEXTU. Bronze 8/19 F, 1kg.=</x:v>
      </x:c>
      <x:c r="D214" s="21" t="str">
        <x:v>Bronze</x:v>
      </x:c>
      <x:c r="E214" s="24" t="n">
        <x:v>42.94</x:v>
      </x:c>
      <x:c r="F214" s="34"/>
      <x:c r="G214" s="21" t="str">
        <x:v>sem-fator</x:v>
      </x:c>
      <x:c r="H214" s="35" t="str">
        <x:f>IFERROR(E214/F214,"")</x:f>
      </x:c>
      <x:c r="I214" s="17" t="str">
        <x:v>Pendente</x:v>
      </x:c>
    </x:row>
    <x:row r="215">
      <x:c r="A215" s="16" t="n">
        <x:v>215</x:v>
      </x:c>
      <x:c r="B215" s="21" t="str">
        <x:v>PL200019</x:v>
      </x:c>
      <x:c r="C215" s="57" t="str">
        <x:v>Perfil Inferior Plissada (5851) Cor M.TEXTU. Preto 8/19 kg.=</x:v>
      </x:c>
      <x:c r="D215" s="21" t="str">
        <x:v>Preto</x:v>
      </x:c>
      <x:c r="E215" s="24" t="n">
        <x:v>39.74</x:v>
      </x:c>
      <x:c r="F215" s="34"/>
      <x:c r="G215" s="21" t="str">
        <x:v>sem-fator</x:v>
      </x:c>
      <x:c r="H215" s="35" t="str">
        <x:f>IFERROR(E215/F215,"")</x:f>
      </x:c>
      <x:c r="I215" s="17" t="str">
        <x:v>Pendente</x:v>
      </x:c>
    </x:row>
    <x:row r="216">
      <x:c r="A216" s="16" t="n">
        <x:v>216</x:v>
      </x:c>
      <x:c r="B216" s="21" t="str">
        <x:v>PL500001</x:v>
      </x:c>
      <x:c r="C216" s="57" t="str">
        <x:v>Perfil Inferior Plissada XL (alpex5852/PMXXX) M.TEXTU. Branco{1kg.=3,6363ml PCT6M F023</x:v>
      </x:c>
      <x:c r="D216" s="21" t="str">
        <x:v>Branco</x:v>
      </x:c>
      <x:c r="E216" s="24" t="n">
        <x:v>40.57</x:v>
      </x:c>
      <x:c r="F216" s="34" t="n">
        <x:v>3.6363</x:v>
      </x:c>
      <x:c r="G216" s="21" t="str">
        <x:v>descricao</x:v>
      </x:c>
      <x:c r="H216" s="35" t="n">
        <x:f>IFERROR(E216/F216,"")</x:f>
        <x:v>11.156945246541815</x:v>
      </x:c>
      <x:c r="I216" s="17" t="str">
        <x:v>Precificado</x:v>
      </x:c>
    </x:row>
    <x:row r="217">
      <x:c r="A217" s="16" t="n">
        <x:v>217</x:v>
      </x:c>
      <x:c r="B217" s="21" t="str">
        <x:v>001.008.003.000.11</x:v>
      </x:c>
      <x:c r="C217" s="57" t="str">
        <x:v>Perfil Inferior Plissada XL (alpex5852/PMXXX) PINTAR {1kg.=3,6363ml}a F0791 F,.ALPEX</x:v>
      </x:c>
      <x:c r="D217" s="21" t="str">
        <x:v>Alumínio cru</x:v>
      </x:c>
      <x:c r="E217" s="24" t="n">
        <x:v>34.74</x:v>
      </x:c>
      <x:c r="F217" s="34" t="n">
        <x:v>3.6363</x:v>
      </x:c>
      <x:c r="G217" s="21" t="str">
        <x:v>descricao</x:v>
      </x:c>
      <x:c r="H217" s="35" t="n">
        <x:f>IFERROR(E217/F217,"")</x:f>
        <x:v>9.553667189175812</x:v>
      </x:c>
      <x:c r="I217" s="17" t="str">
        <x:v>Precificado</x:v>
      </x:c>
    </x:row>
    <x:row r="218">
      <x:c r="A218" s="16" t="n">
        <x:v>218</x:v>
      </x:c>
      <x:c r="B218" s="21" t="str">
        <x:v>PC.000.606.p.</x:v>
      </x:c>
      <x:c r="C218" s="57" t="str">
        <x:v>Perfil Lat. 65 mm Par. (RC3102/alpex6422/ES-3985) PINTAR lat (1kg.=3,732ml}a)  11/20</x:v>
      </x:c>
      <x:c r="D218" s="21" t="str">
        <x:v>Alumínio cru</x:v>
      </x:c>
      <x:c r="E218" s="24" t="n">
        <x:v>34.74</x:v>
      </x:c>
      <x:c r="F218" s="34" t="n">
        <x:v>3.732</x:v>
      </x:c>
      <x:c r="G218" s="21" t="str">
        <x:v>descricao</x:v>
      </x:c>
      <x:c r="H218" s="35" t="n">
        <x:f>IFERROR(E218/F218,"")</x:f>
        <x:v>9.308681672025724</x:v>
      </x:c>
      <x:c r="I218" s="17" t="str">
        <x:v>Precificado</x:v>
      </x:c>
    </x:row>
    <x:row r="219">
      <x:c r="A219" s="16" t="n">
        <x:v>219</x:v>
      </x:c>
      <x:c r="B219" s="21" t="str">
        <x:v>PC.000.912.001</x:v>
      </x:c>
      <x:c r="C219" s="57" t="str">
        <x:v>Perfil Lat. 65 mm Par. (RC3102/alpex6422/ES-3985) Preto pt  6m (1kg.=3,732ml) 7/25 cadastro especial</x:v>
      </x:c>
      <x:c r="D219" s="21" t="str">
        <x:v>Preto</x:v>
      </x:c>
      <x:c r="E219" s="24" t="n">
        <x:v>39.74</x:v>
      </x:c>
      <x:c r="F219" s="34" t="n">
        <x:v>3.732</x:v>
      </x:c>
      <x:c r="G219" s="21" t="str">
        <x:v>descricao</x:v>
      </x:c>
      <x:c r="H219" s="35" t="n">
        <x:f>IFERROR(E219/F219,"")</x:f>
        <x:v>10.64844587352626</x:v>
      </x:c>
      <x:c r="I219" s="17" t="str">
        <x:v>Precificado</x:v>
      </x:c>
    </x:row>
    <x:row r="220">
      <x:c r="A220" s="16" t="n">
        <x:v>220</x:v>
      </x:c>
      <x:c r="B220" s="21" t="str">
        <x:v>PC.000.607</x:v>
      </x:c>
      <x:c r="C220" s="57" t="str">
        <x:v>Perfil Lat. 65 mm Par. (RC3102/alpex6422/ESAF-3985) Anodizado an lat.(1kg.=3,732ml} pct116 11/20 q.a.ss cinza</x:v>
      </x:c>
      <x:c r="D220" s="21" t="str">
        <x:v>Cinza</x:v>
      </x:c>
      <x:c r="E220" s="24" t="n">
        <x:v>42.61</x:v>
      </x:c>
      <x:c r="F220" s="34" t="n">
        <x:v>3.732</x:v>
      </x:c>
      <x:c r="G220" s="21" t="str">
        <x:v>descricao</x:v>
      </x:c>
      <x:c r="H220" s="35" t="n">
        <x:f>IFERROR(E220/F220,"")</x:f>
        <x:v>11.417470525187566</x:v>
      </x:c>
      <x:c r="I220" s="17" t="str">
        <x:v>Precificado</x:v>
      </x:c>
    </x:row>
    <x:row r="221">
      <x:c r="A221" s="16" t="n">
        <x:v>221</x:v>
      </x:c>
      <x:c r="B221" s="21" t="str">
        <x:v>PC.000.608</x:v>
      </x:c>
      <x:c r="C221" s="57" t="str">
        <x:v>Perfil Lat. 65 mm Par. (RC3102/alpex6422/ESAF-3985) Branco bco lat.(1kg.=3,636364ml} (A) pct116m11/20</x:v>
      </x:c>
      <x:c r="D221" s="21" t="str">
        <x:v>Branco</x:v>
      </x:c>
      <x:c r="E221" s="24" t="n">
        <x:v>40.57</x:v>
      </x:c>
      <x:c r="F221" s="34" t="n">
        <x:v>3.636364</x:v>
      </x:c>
      <x:c r="G221" s="21" t="str">
        <x:v>descricao</x:v>
      </x:c>
      <x:c r="H221" s="35" t="n">
        <x:f>IFERROR(E221/F221,"")</x:f>
        <x:v>11.156748884325111</x:v>
      </x:c>
      <x:c r="I221" s="17" t="str">
        <x:v>Precificado</x:v>
      </x:c>
    </x:row>
    <x:row r="222">
      <x:c r="A222" s="16" t="n">
        <x:v>222</x:v>
      </x:c>
      <x:c r="B222" s="21" t="str">
        <x:v>PC.000.864</x:v>
      </x:c>
      <x:c r="C222" s="57" t="str">
        <x:v>Perfil Lat. 65 mm Par. (RC3102/alpex6422/ESAF-3985) Cinza lat.(1kg.=3,732ml) pct116 12/24</x:v>
      </x:c>
      <x:c r="D222" s="21" t="str">
        <x:v>Cinza</x:v>
      </x:c>
      <x:c r="E222" s="24" t="n">
        <x:v>42.61</x:v>
      </x:c>
      <x:c r="F222" s="34" t="n">
        <x:v>3.732</x:v>
      </x:c>
      <x:c r="G222" s="21" t="str">
        <x:v>descricao</x:v>
      </x:c>
      <x:c r="H222" s="35" t="n">
        <x:f>IFERROR(E222/F222,"")</x:f>
        <x:v>11.417470525187566</x:v>
      </x:c>
      <x:c r="I222" s="17" t="str">
        <x:v>Precificado</x:v>
      </x:c>
    </x:row>
    <x:row r="223">
      <x:c r="A223" s="16" t="n">
        <x:v>223</x:v>
      </x:c>
      <x:c r="B223" s="21" t="str">
        <x:v>PC.000.912</x:v>
      </x:c>
      <x:c r="C223" s="57" t="str">
        <x:v>Perfil Lat. 65 mm Par. (RC3102/alpex6422/ESAF-3985) Preto pt  lat. 6m (1kg.=3,636ml) 07/25</x:v>
      </x:c>
      <x:c r="D223" s="21" t="str">
        <x:v>Preto</x:v>
      </x:c>
      <x:c r="E223" s="24" t="n">
        <x:v>39.74</x:v>
      </x:c>
      <x:c r="F223" s="34" t="n">
        <x:v>3.636</x:v>
      </x:c>
      <x:c r="G223" s="21" t="str">
        <x:v>descricao</x:v>
      </x:c>
      <x:c r="H223" s="35" t="n">
        <x:f>IFERROR(E223/F223,"")</x:f>
        <x:v>10.92959295929593</x:v>
      </x:c>
      <x:c r="I223" s="17" t="str">
        <x:v>Precificado</x:v>
      </x:c>
    </x:row>
    <x:row r="224">
      <x:c r="A224" s="16" t="n">
        <x:v>224</x:v>
      </x:c>
      <x:c r="B224" s="21" t="str">
        <x:v>PC.000.606.p</x:v>
      </x:c>
      <x:c r="C224" s="57" t="str">
        <x:v>Perfil Lat. 65 mm V. (RC3101/alpex6421/ES-3984) PINTAR (1kg.=1,46628m}a) 9/21 ml}a</x:v>
      </x:c>
      <x:c r="D224" s="21" t="str">
        <x:v>Alumínio cru</x:v>
      </x:c>
      <x:c r="E224" s="24" t="n">
        <x:v>34.74</x:v>
      </x:c>
      <x:c r="F224" s="34" t="n">
        <x:v>1.46628</x:v>
      </x:c>
      <x:c r="G224" s="21" t="str">
        <x:v>descricao</x:v>
      </x:c>
      <x:c r="H224" s="35" t="n">
        <x:f>IFERROR(E224/F224,"")</x:f>
        <x:v>23.692609869874786</x:v>
      </x:c>
      <x:c r="I224" s="17" t="str">
        <x:v>Precificado</x:v>
      </x:c>
    </x:row>
    <x:row r="225">
      <x:c r="A225" s="16" t="n">
        <x:v>225</x:v>
      </x:c>
      <x:c r="B225" s="21" t="str">
        <x:v>PC.000.090</x:v>
      </x:c>
      <x:c r="C225" s="57" t="str">
        <x:v>Perfil Lat. 65 mm V. (RC3101/alpex6421/ESAF-3984) Anodizado an lat. (1kg.=1,459m) (B) pct6m q.a.ss cinza</x:v>
      </x:c>
      <x:c r="D225" s="21" t="str">
        <x:v>Cinza</x:v>
      </x:c>
      <x:c r="E225" s="24" t="n">
        <x:v>42.61</x:v>
      </x:c>
      <x:c r="F225" s="34" t="n">
        <x:v>1.459</x:v>
      </x:c>
      <x:c r="G225" s="21" t="str">
        <x:v>descricao</x:v>
      </x:c>
      <x:c r="H225" s="35" t="n">
        <x:f>IFERROR(E225/F225,"")</x:f>
        <x:v>29.20493488690884</x:v>
      </x:c>
      <x:c r="I225" s="17" t="str">
        <x:v>Precificado</x:v>
      </x:c>
    </x:row>
    <x:row r="226">
      <x:c r="A226" s="16" t="n">
        <x:v>226</x:v>
      </x:c>
      <x:c r="B226" s="21" t="str">
        <x:v>PC.000.606</x:v>
      </x:c>
      <x:c r="C226" s="57" t="str">
        <x:v>Perfil Lat. 65 mm V. (RC3101/alpex6421/ESAF-3984) Branco bco lat. (A) (1kg.=1,46628m)pct46,4m11/20 (A)</x:v>
      </x:c>
      <x:c r="D226" s="21" t="str">
        <x:v>Branco</x:v>
      </x:c>
      <x:c r="E226" s="24" t="n">
        <x:v>40.57</x:v>
      </x:c>
      <x:c r="F226" s="34" t="n">
        <x:v>1.46628</x:v>
      </x:c>
      <x:c r="G226" s="21" t="str">
        <x:v>descricao</x:v>
      </x:c>
      <x:c r="H226" s="35" t="n">
        <x:f>IFERROR(E226/F226,"")</x:f>
        <x:v>27.66865810077202</x:v>
      </x:c>
      <x:c r="I226" s="17" t="str">
        <x:v>Precificado</x:v>
      </x:c>
    </x:row>
    <x:row r="227">
      <x:c r="A227" s="16" t="n">
        <x:v>227</x:v>
      </x:c>
      <x:c r="B227" s="21" t="str">
        <x:v>PC.000.863</x:v>
      </x:c>
      <x:c r="C227" s="57" t="str">
        <x:v>Perfil Lat. 65 mm V. (RC3101/alpex6421/ESAF-3984) Cinza lat. (1kg.=1,459m) pct6m</x:v>
      </x:c>
      <x:c r="D227" s="21" t="str">
        <x:v>Cinza</x:v>
      </x:c>
      <x:c r="E227" s="24" t="n">
        <x:v>42.61</x:v>
      </x:c>
      <x:c r="F227" s="34" t="n">
        <x:v>1.459</x:v>
      </x:c>
      <x:c r="G227" s="21" t="str">
        <x:v>descricao</x:v>
      </x:c>
      <x:c r="H227" s="35" t="n">
        <x:f>IFERROR(E227/F227,"")</x:f>
        <x:v>29.20493488690884</x:v>
      </x:c>
      <x:c r="I227" s="17" t="str">
        <x:v>Precificado</x:v>
      </x:c>
    </x:row>
    <x:row r="228">
      <x:c r="A228" s="16" t="n">
        <x:v>228</x:v>
      </x:c>
      <x:c r="B228" s="21" t="str">
        <x:v>PC.000.913</x:v>
      </x:c>
      <x:c r="C228" s="57" t="str">
        <x:v>Perfil Lat. 65 mm V. (RC3101/alpex6421/ESAF-3984) Preto pt  lat. 6m (B) (1kg.=1,46628m) 07/25</x:v>
      </x:c>
      <x:c r="D228" s="21" t="str">
        <x:v>Preto</x:v>
      </x:c>
      <x:c r="E228" s="24" t="n">
        <x:v>39.74</x:v>
      </x:c>
      <x:c r="F228" s="34" t="n">
        <x:v>1.46628</x:v>
      </x:c>
      <x:c r="G228" s="21" t="str">
        <x:v>descricao</x:v>
      </x:c>
      <x:c r="H228" s="35" t="n">
        <x:f>IFERROR(E228/F228,"")</x:f>
        <x:v>27.102599776304665</x:v>
      </x:c>
      <x:c r="I228" s="17" t="str">
        <x:v>Precificado</x:v>
      </x:c>
    </x:row>
    <x:row r="229">
      <x:c r="A229" s="16" t="n">
        <x:v>229</x:v>
      </x:c>
      <x:c r="B229" s="21" t="str">
        <x:v>001.008.002.060.4</x:v>
      </x:c>
      <x:c r="C229" s="57" t="str">
        <x:v>Perfil Lateral da Rollo (PM-5298)Cor M.TEXTU Bronze {1kg.=1,43ml} PCT6M (Q.A.F.L UNX) F0234</x:v>
      </x:c>
      <x:c r="D229" s="21" t="str">
        <x:v>Bronze</x:v>
      </x:c>
      <x:c r="E229" s="24" t="n">
        <x:v>42.94</x:v>
      </x:c>
      <x:c r="F229" s="34" t="n">
        <x:v>1.43</x:v>
      </x:c>
      <x:c r="G229" s="21" t="str">
        <x:v>descricao</x:v>
      </x:c>
      <x:c r="H229" s="35" t="n">
        <x:f>IFERROR(E229/F229,"")</x:f>
        <x:v>30.027972027972027</x:v>
      </x:c>
      <x:c r="I229" s="17" t="str">
        <x:v>Precificado</x:v>
      </x:c>
    </x:row>
    <x:row r="230">
      <x:c r="A230" s="16" t="n">
        <x:v>230</x:v>
      </x:c>
      <x:c r="B230" s="21" t="str">
        <x:v>PC.000.050</x:v>
      </x:c>
      <x:c r="C230" s="57" t="str">
        <x:v>Perfil Lateral Dentro Vao (RCA-05/alpex6462) Anodizado an pct6m 1/20(1kg.=2,257m)q.a.ss cinza</x:v>
      </x:c>
      <x:c r="D230" s="21" t="str">
        <x:v>Cinza</x:v>
      </x:c>
      <x:c r="E230" s="24" t="n">
        <x:v>42.61</x:v>
      </x:c>
      <x:c r="F230" s="34" t="n">
        <x:v>2.257</x:v>
      </x:c>
      <x:c r="G230" s="21" t="str">
        <x:v>descricao</x:v>
      </x:c>
      <x:c r="H230" s="35" t="n">
        <x:f>IFERROR(E230/F230,"")</x:f>
        <x:v>18.879042977403632</x:v>
      </x:c>
      <x:c r="I230" s="17" t="str">
        <x:v>Precificado</x:v>
      </x:c>
    </x:row>
    <x:row r="231">
      <x:c r="A231" s="16" t="n">
        <x:v>231</x:v>
      </x:c>
      <x:c r="B231" s="21" t="str">
        <x:v>PC.000.051</x:v>
      </x:c>
      <x:c r="C231" s="57" t="str">
        <x:v>Perfil Lateral Dentro Vao (RCA-05/alpex6462) Branco bc 1/20 (1kg.=2,257m)</x:v>
      </x:c>
      <x:c r="D231" s="21" t="str">
        <x:v>Branco</x:v>
      </x:c>
      <x:c r="E231" s="24" t="n">
        <x:v>40.57</x:v>
      </x:c>
      <x:c r="F231" s="34" t="n">
        <x:v>2.257</x:v>
      </x:c>
      <x:c r="G231" s="21" t="str">
        <x:v>descricao</x:v>
      </x:c>
      <x:c r="H231" s="35" t="n">
        <x:f>IFERROR(E231/F231,"")</x:f>
        <x:v>17.975188303057156</x:v>
      </x:c>
      <x:c r="I231" s="17" t="str">
        <x:v>Precificado</x:v>
      </x:c>
    </x:row>
    <x:row r="232">
      <x:c r="A232" s="16" t="n">
        <x:v>232</x:v>
      </x:c>
      <x:c r="B232" s="21" t="str">
        <x:v>PC.000.861</x:v>
      </x:c>
      <x:c r="C232" s="57" t="str">
        <x:v>Perfil Lateral Dentro Vão (RCA-05/alpex6462) Cinza pct6m 12/24(1kg.=2,257m)</x:v>
      </x:c>
      <x:c r="D232" s="21" t="str">
        <x:v>Cinza</x:v>
      </x:c>
      <x:c r="E232" s="24" t="n">
        <x:v>42.61</x:v>
      </x:c>
      <x:c r="F232" s="34" t="n">
        <x:v>2.257</x:v>
      </x:c>
      <x:c r="G232" s="21" t="str">
        <x:v>descricao</x:v>
      </x:c>
      <x:c r="H232" s="35" t="n">
        <x:f>IFERROR(E232/F232,"")</x:f>
        <x:v>18.879042977403632</x:v>
      </x:c>
      <x:c r="I232" s="17" t="str">
        <x:v>Precificado</x:v>
      </x:c>
    </x:row>
    <x:row r="233">
      <x:c r="A233" s="16" t="n">
        <x:v>233</x:v>
      </x:c>
      <x:c r="B233" s="21" t="str">
        <x:v>PC.000.0143</x:v>
      </x:c>
      <x:c r="C233" s="57" t="str">
        <x:v>Perfil Lateral Dentro Vao (RCA-05/alpex6462) PINTAR (1kg.=2,257m)  ml}a F0791</x:v>
      </x:c>
      <x:c r="D233" s="21" t="str">
        <x:v>Alumínio cru</x:v>
      </x:c>
      <x:c r="E233" s="24" t="n">
        <x:v>34.74</x:v>
      </x:c>
      <x:c r="F233" s="34" t="n">
        <x:v>2.257</x:v>
      </x:c>
      <x:c r="G233" s="21" t="str">
        <x:v>descricao</x:v>
      </x:c>
      <x:c r="H233" s="35" t="n">
        <x:f>IFERROR(E233/F233,"")</x:f>
        <x:v>15.39211342490031</x:v>
      </x:c>
      <x:c r="I233" s="17" t="str">
        <x:v>Precificado</x:v>
      </x:c>
    </x:row>
    <x:row r="234">
      <x:c r="A234" s="16" t="n">
        <x:v>234</x:v>
      </x:c>
      <x:c r="B234" s="21" t="str">
        <x:v>PC.000.053</x:v>
      </x:c>
      <x:c r="C234" s="57" t="str">
        <x:v>Perfil Lateral Parede (RCA-03/Alpex6463) Branco bco (1kg.=2,51m)5,8m PCT58 m.p.dp16</x:v>
      </x:c>
      <x:c r="D234" s="21" t="str">
        <x:v>Branco</x:v>
      </x:c>
      <x:c r="E234" s="24" t="n">
        <x:v>40.57</x:v>
      </x:c>
      <x:c r="F234" s="34" t="n">
        <x:v>2.51</x:v>
      </x:c>
      <x:c r="G234" s="21" t="str">
        <x:v>descricao</x:v>
      </x:c>
      <x:c r="H234" s="35" t="n">
        <x:f>IFERROR(E234/F234,"")</x:f>
        <x:v>16.16334661354582</x:v>
      </x:c>
      <x:c r="I234" s="17" t="str">
        <x:v>Precificado</x:v>
      </x:c>
    </x:row>
    <x:row r="235">
      <x:c r="A235" s="16" t="n">
        <x:v>235</x:v>
      </x:c>
      <x:c r="B235" s="21" t="str">
        <x:v>PC.000.862</x:v>
      </x:c>
      <x:c r="C235" s="57" t="str">
        <x:v>Perfil Lateral Parede (RCA-03/Alpex6463) Cinza (5,8m)(1kg.=2,51m)PCT6</x:v>
      </x:c>
      <x:c r="D235" s="21" t="str">
        <x:v>Cinza</x:v>
      </x:c>
      <x:c r="E235" s="24" t="n">
        <x:v>42.61</x:v>
      </x:c>
      <x:c r="F235" s="34" t="n">
        <x:v>2.51</x:v>
      </x:c>
      <x:c r="G235" s="21" t="str">
        <x:v>descricao</x:v>
      </x:c>
      <x:c r="H235" s="35" t="n">
        <x:f>IFERROR(E235/F235,"")</x:f>
        <x:v>16.976095617529882</x:v>
      </x:c>
      <x:c r="I235" s="17" t="str">
        <x:v>Precificado</x:v>
      </x:c>
    </x:row>
    <x:row r="236">
      <x:c r="A236" s="16" t="n">
        <x:v>236</x:v>
      </x:c>
      <x:c r="B236" s="21" t="str">
        <x:v>PC.000.0142</x:v>
      </x:c>
      <x:c r="C236" s="57" t="str">
        <x:v>Perfil Lateral Parede (RCA-03/Alpex6463) PINTAR 6m (1kg.=2,51m) (F.A.F) ml}a F0791</x:v>
      </x:c>
      <x:c r="D236" s="21" t="str">
        <x:v>Alumínio cru</x:v>
      </x:c>
      <x:c r="E236" s="24" t="n">
        <x:v>34.74</x:v>
      </x:c>
      <x:c r="F236" s="34" t="n">
        <x:v>2.51</x:v>
      </x:c>
      <x:c r="G236" s="21" t="str">
        <x:v>descricao</x:v>
      </x:c>
      <x:c r="H236" s="35" t="n">
        <x:f>IFERROR(E236/F236,"")</x:f>
        <x:v>13.840637450199205</x:v>
      </x:c>
      <x:c r="I236" s="17" t="str">
        <x:v>Precificado</x:v>
      </x:c>
    </x:row>
    <x:row r="237">
      <x:c r="A237" s="16" t="n">
        <x:v>237</x:v>
      </x:c>
      <x:c r="B237" s="21" t="str">
        <x:v>1008001010</x:v>
      </x:c>
      <x:c r="C237" s="57" t="str">
        <x:v>Perfil Mini Trilho 00617 (teste) {fatorkg/4,12m}</x:v>
      </x:c>
      <x:c r="D237" s="21" t="str">
        <x:v>Alumínio cru</x:v>
      </x:c>
      <x:c r="E237" s="24" t="n">
        <x:v>34.74</x:v>
      </x:c>
      <x:c r="F237" s="34" t="n">
        <x:v>4.12</x:v>
      </x:c>
      <x:c r="G237" s="21" t="str">
        <x:v>fator-kg</x:v>
      </x:c>
      <x:c r="H237" s="35" t="n">
        <x:f>IFERROR(E237/F237,"")</x:f>
        <x:v>8.432038834951456</x:v>
      </x:c>
      <x:c r="I237" s="17" t="str">
        <x:v>Precificado</x:v>
      </x:c>
    </x:row>
    <x:row r="238">
      <x:c r="A238" s="16" t="n">
        <x:v>238</x:v>
      </x:c>
      <x:c r="B238" s="21" t="str">
        <x:v>1008001007</x:v>
      </x:c>
      <x:c r="C238" s="57" t="str">
        <x:v>Perfil Mini Trilho 01692 (teste) {fatorkg/8,5m}</x:v>
      </x:c>
      <x:c r="D238" s="21" t="str">
        <x:v>Alumínio cru</x:v>
      </x:c>
      <x:c r="E238" s="24" t="n">
        <x:v>34.74</x:v>
      </x:c>
      <x:c r="F238" s="34" t="n">
        <x:v>8.5</x:v>
      </x:c>
      <x:c r="G238" s="21" t="str">
        <x:v>fator-kg</x:v>
      </x:c>
      <x:c r="H238" s="35" t="n">
        <x:f>IFERROR(E238/F238,"")</x:f>
        <x:v>4.087058823529412</x:v>
      </x:c>
      <x:c r="I238" s="17" t="str">
        <x:v>Precificado</x:v>
      </x:c>
    </x:row>
    <x:row r="239">
      <x:c r="A239" s="16" t="n">
        <x:v>239</x:v>
      </x:c>
      <x:c r="B239" s="21" t="str">
        <x:v>1008001006</x:v>
      </x:c>
      <x:c r="C239" s="57" t="str">
        <x:v>Perfil Mini Trilho 01874 (teste){fattor kg/13m</x:v>
      </x:c>
      <x:c r="D239" s="21" t="str">
        <x:v>Alumínio cru</x:v>
      </x:c>
      <x:c r="E239" s="24" t="n">
        <x:v>34.74</x:v>
      </x:c>
      <x:c r="F239" s="34" t="n">
        <x:v>13</x:v>
      </x:c>
      <x:c r="G239" s="21" t="str">
        <x:v>fator-kg</x:v>
      </x:c>
      <x:c r="H239" s="35" t="n">
        <x:f>IFERROR(E239/F239,"")</x:f>
        <x:v>2.6723076923076925</x:v>
      </x:c>
      <x:c r="I239" s="17" t="str">
        <x:v>Precificado</x:v>
      </x:c>
    </x:row>
    <x:row r="240">
      <x:c r="A240" s="16" t="n">
        <x:v>240</x:v>
      </x:c>
      <x:c r="B240" s="21" t="str">
        <x:v>1008001009</x:v>
      </x:c>
      <x:c r="C240" s="57" t="str">
        <x:v>Perfil Mini Trilho 01876 (teste) {fatorkg/3m}</x:v>
      </x:c>
      <x:c r="D240" s="21" t="str">
        <x:v>Alumínio cru</x:v>
      </x:c>
      <x:c r="E240" s="24" t="n">
        <x:v>34.74</x:v>
      </x:c>
      <x:c r="F240" s="34" t="n">
        <x:v>3</x:v>
      </x:c>
      <x:c r="G240" s="21" t="str">
        <x:v>fator-kg</x:v>
      </x:c>
      <x:c r="H240" s="35" t="n">
        <x:f>IFERROR(E240/F240,"")</x:f>
        <x:v>11.58</x:v>
      </x:c>
      <x:c r="I240" s="17" t="str">
        <x:v>Precificado</x:v>
      </x:c>
    </x:row>
    <x:row r="241">
      <x:c r="A241" s="16" t="n">
        <x:v>241</x:v>
      </x:c>
      <x:c r="B241" s="21" t="str">
        <x:v>1008001008</x:v>
      </x:c>
      <x:c r="C241" s="57" t="str">
        <x:v>Perfil Mini Trilho 02023 (teste){fator kg/4.12m}</x:v>
      </x:c>
      <x:c r="D241" s="21" t="str">
        <x:v>Alumínio cru</x:v>
      </x:c>
      <x:c r="E241" s="24" t="n">
        <x:v>34.74</x:v>
      </x:c>
      <x:c r="F241" s="34" t="n">
        <x:v>4.12</x:v>
      </x:c>
      <x:c r="G241" s="21" t="str">
        <x:v>fator-kg</x:v>
      </x:c>
      <x:c r="H241" s="35" t="n">
        <x:f>IFERROR(E241/F241,"")</x:f>
        <x:v>8.432038834951456</x:v>
      </x:c>
      <x:c r="I241" s="17" t="str">
        <x:v>Precificado</x:v>
      </x:c>
    </x:row>
    <x:row r="242">
      <x:c r="A242" s="16" t="n">
        <x:v>242</x:v>
      </x:c>
      <x:c r="B242" s="21" t="str">
        <x:v>1008001011</x:v>
      </x:c>
      <x:c r="C242" s="57" t="str">
        <x:v>Perfil Mini Trilho 03283 (teste) {fatorkg/6m}</x:v>
      </x:c>
      <x:c r="D242" s="21" t="str">
        <x:v>Alumínio cru</x:v>
      </x:c>
      <x:c r="E242" s="24" t="n">
        <x:v>34.74</x:v>
      </x:c>
      <x:c r="F242" s="34" t="n">
        <x:v>6</x:v>
      </x:c>
      <x:c r="G242" s="21" t="str">
        <x:v>fator-kg</x:v>
      </x:c>
      <x:c r="H242" s="35" t="n">
        <x:f>IFERROR(E242/F242,"")</x:f>
        <x:v>5.79</x:v>
      </x:c>
      <x:c r="I242" s="17" t="str">
        <x:v>Precificado</x:v>
      </x:c>
    </x:row>
    <x:row r="243">
      <x:c r="A243" s="16" t="n">
        <x:v>243</x:v>
      </x:c>
      <x:c r="B243" s="21" t="str">
        <x:v>001.008.002.001.56</x:v>
      </x:c>
      <x:c r="C243" s="57" t="str">
        <x:v>Perfil Niv. Gr. Dimensoes (novax4745) Branco bco {1kg.=1,76ml}PCT4,5 e 6M almefe-alpex q.a.f.F0234</x:v>
      </x:c>
      <x:c r="D243" s="21" t="str">
        <x:v>Branco</x:v>
      </x:c>
      <x:c r="E243" s="24" t="n">
        <x:v>40.57</x:v>
      </x:c>
      <x:c r="F243" s="34" t="n">
        <x:v>1.76</x:v>
      </x:c>
      <x:c r="G243" s="21" t="str">
        <x:v>descricao</x:v>
      </x:c>
      <x:c r="H243" s="35" t="n">
        <x:f>IFERROR(E243/F243,"")</x:f>
        <x:v>23.051136363636363</x:v>
      </x:c>
      <x:c r="I243" s="17" t="str">
        <x:v>Precificado</x:v>
      </x:c>
    </x:row>
    <x:row r="244">
      <x:c r="A244" s="16" t="n">
        <x:v>244</x:v>
      </x:c>
      <x:c r="B244" s="21" t="str">
        <x:v>001.008.002.060.56</x:v>
      </x:c>
      <x:c r="C244" s="57" t="str">
        <x:v>Perfil Niv. Gr. Dimensoes (novax4745) Bronze bz {1kg.=1,76ml} PCT4,5e 6M almefe-alpex q.a.f.lF0234</x:v>
      </x:c>
      <x:c r="D244" s="21" t="str">
        <x:v>Bronze</x:v>
      </x:c>
      <x:c r="E244" s="24" t="n">
        <x:v>42.94</x:v>
      </x:c>
      <x:c r="F244" s="34" t="n">
        <x:v>1.76</x:v>
      </x:c>
      <x:c r="G244" s="21" t="str">
        <x:v>descricao</x:v>
      </x:c>
      <x:c r="H244" s="35" t="n">
        <x:f>IFERROR(E244/F244,"")</x:f>
        <x:v>24.39772727272727</x:v>
      </x:c>
      <x:c r="I244" s="17" t="str">
        <x:v>Precificado</x:v>
      </x:c>
    </x:row>
    <x:row r="245">
      <x:c r="A245" s="16" t="n">
        <x:v>245</x:v>
      </x:c>
      <x:c r="B245" s="21" t="str">
        <x:v>001.008.002.001.55</x:v>
      </x:c>
      <x:c r="C245" s="57" t="str">
        <x:v>Perfil Niv. Gr. Dimensoes (novax4745) PINTAR 1kg.=1,76ml}a _ { compo.GD} q.a.f.l?</x:v>
      </x:c>
      <x:c r="D245" s="21" t="str">
        <x:v>Alumínio cru</x:v>
      </x:c>
      <x:c r="E245" s="24" t="n">
        <x:v>34.74</x:v>
      </x:c>
      <x:c r="F245" s="34" t="n">
        <x:v>1.76</x:v>
      </x:c>
      <x:c r="G245" s="21" t="str">
        <x:v>descricao</x:v>
      </x:c>
      <x:c r="H245" s="35" t="n">
        <x:f>IFERROR(E245/F245,"")</x:f>
        <x:v>19.738636363636363</x:v>
      </x:c>
      <x:c r="I245" s="17" t="str">
        <x:v>Precificado</x:v>
      </x:c>
    </x:row>
    <x:row r="246">
      <x:c r="A246" s="16" t="n">
        <x:v>246</x:v>
      </x:c>
      <x:c r="B246" s="21" t="str">
        <x:v>001.008.002.233.56</x:v>
      </x:c>
      <x:c r="C246" s="57" t="str">
        <x:v>Perfil Niv. Gr. Dimensoes (novax4745) Preto pt {1kg.=1,76ml}(PCT4,5e 6Malmefe-alpexq.a.f.lF0234</x:v>
      </x:c>
      <x:c r="D246" s="21" t="str">
        <x:v>Preto</x:v>
      </x:c>
      <x:c r="E246" s="24" t="n">
        <x:v>39.74</x:v>
      </x:c>
      <x:c r="F246" s="34" t="n">
        <x:v>1.76</x:v>
      </x:c>
      <x:c r="G246" s="21" t="str">
        <x:v>descricao</x:v>
      </x:c>
      <x:c r="H246" s="35" t="n">
        <x:f>IFERROR(E246/F246,"")</x:f>
        <x:v>22.579545454545457</x:v>
      </x:c>
      <x:c r="I246" s="17" t="str">
        <x:v>Precificado</x:v>
      </x:c>
    </x:row>
    <x:row r="247">
      <x:c r="A247" s="16" t="n">
        <x:v>247</x:v>
      </x:c>
      <x:c r="B247" s="21" t="str">
        <x:v>PC.000.389</x:v>
      </x:c>
      <x:c r="C247" s="57" t="str">
        <x:v>Perfil Nivelador M (RCUP-42/alpex6434) Bege bg (1kg.=3,284m) (A) PCT58 5,80m/6m 01/20</x:v>
      </x:c>
      <x:c r="D247" s="21" t="str">
        <x:v>Bege</x:v>
      </x:c>
      <x:c r="E247" s="24" t="n">
        <x:v>44.39</x:v>
      </x:c>
      <x:c r="F247" s="34" t="n">
        <x:v>3.284</x:v>
      </x:c>
      <x:c r="G247" s="21" t="str">
        <x:v>descricao</x:v>
      </x:c>
      <x:c r="H247" s="35" t="n">
        <x:f>IFERROR(E247/F247,"")</x:f>
        <x:v>13.517052375152254</x:v>
      </x:c>
      <x:c r="I247" s="17" t="str">
        <x:v>Precificado</x:v>
      </x:c>
    </x:row>
    <x:row r="248">
      <x:c r="A248" s="16" t="n">
        <x:v>248</x:v>
      </x:c>
      <x:c r="B248" s="21" t="str">
        <x:v>PC.000.390</x:v>
      </x:c>
      <x:c r="C248" s="57" t="str">
        <x:v>Perfil Nivelador M (RCUP-42/alpex6434) Branco bco (A) (1kg.=3,284m) PCT58 5,80m/6m 01/20</x:v>
      </x:c>
      <x:c r="D248" s="21" t="str">
        <x:v>Branco</x:v>
      </x:c>
      <x:c r="E248" s="24" t="n">
        <x:v>40.57</x:v>
      </x:c>
      <x:c r="F248" s="34" t="n">
        <x:v>3.284</x:v>
      </x:c>
      <x:c r="G248" s="21" t="str">
        <x:v>descricao</x:v>
      </x:c>
      <x:c r="H248" s="35" t="n">
        <x:f>IFERROR(E248/F248,"")</x:f>
        <x:v>12.353836784409259</x:v>
      </x:c>
      <x:c r="I248" s="17" t="str">
        <x:v>Precificado</x:v>
      </x:c>
    </x:row>
    <x:row r="249">
      <x:c r="A249" s="16" t="n">
        <x:v>249</x:v>
      </x:c>
      <x:c r="B249" s="21" t="str">
        <x:v>PC.000.387</x:v>
      </x:c>
      <x:c r="C249" s="57" t="str">
        <x:v>Perfil Nivelador M (RCUP-42/alpex6434) Bronze bz (B)(1kg.=3,284m) PCT58 5,8m/6m 1/20</x:v>
      </x:c>
      <x:c r="D249" s="21" t="str">
        <x:v>Bronze</x:v>
      </x:c>
      <x:c r="E249" s="24" t="n">
        <x:v>42.94</x:v>
      </x:c>
      <x:c r="F249" s="34" t="n">
        <x:v>3.284</x:v>
      </x:c>
      <x:c r="G249" s="21" t="str">
        <x:v>descricao</x:v>
      </x:c>
      <x:c r="H249" s="35" t="n">
        <x:f>IFERROR(E249/F249,"")</x:f>
        <x:v>13.07551766138855</x:v>
      </x:c>
      <x:c r="I249" s="17" t="str">
        <x:v>Precificado</x:v>
      </x:c>
    </x:row>
    <x:row r="250">
      <x:c r="A250" s="16" t="n">
        <x:v>250</x:v>
      </x:c>
      <x:c r="B250" s="21" t="str">
        <x:v>PC.000.866</x:v>
      </x:c>
      <x:c r="C250" s="57" t="str">
        <x:v>Perfil Nivelador M (RCUP-42/alpex6434) Cinza (A) PCT58 (6m)12/24(1kg.=3,284m)</x:v>
      </x:c>
      <x:c r="D250" s="21" t="str">
        <x:v>Cinza</x:v>
      </x:c>
      <x:c r="E250" s="24" t="n">
        <x:v>42.61</x:v>
      </x:c>
      <x:c r="F250" s="34" t="n">
        <x:v>3.284</x:v>
      </x:c>
      <x:c r="G250" s="21" t="str">
        <x:v>descricao</x:v>
      </x:c>
      <x:c r="H250" s="35" t="n">
        <x:f>IFERROR(E250/F250,"")</x:f>
        <x:v>12.975030450669916</x:v>
      </x:c>
      <x:c r="I250" s="17" t="str">
        <x:v>Precificado</x:v>
      </x:c>
    </x:row>
    <x:row r="251">
      <x:c r="A251" s="16" t="n">
        <x:v>251</x:v>
      </x:c>
      <x:c r="B251" s="21" t="str">
        <x:v>PC.000.385</x:v>
      </x:c>
      <x:c r="C251" s="57" t="str">
        <x:v>Perfil Nivelador M (RCUP-42/alpex6434) Grafite gr PCT58 (5,8m/6m) 01/20 (1kg.=3,284m)</x:v>
      </x:c>
      <x:c r="D251" s="21" t="str">
        <x:v>Grafite</x:v>
      </x:c>
      <x:c r="E251" s="24" t="n">
        <x:v>41.980000000000004</x:v>
      </x:c>
      <x:c r="F251" s="34" t="n">
        <x:v>3.284</x:v>
      </x:c>
      <x:c r="G251" s="21" t="str">
        <x:v>descricao</x:v>
      </x:c>
      <x:c r="H251" s="35" t="n">
        <x:f>IFERROR(E251/F251,"")</x:f>
        <x:v>12.783191230207066</x:v>
      </x:c>
      <x:c r="I251" s="17" t="str">
        <x:v>Precificado</x:v>
      </x:c>
    </x:row>
    <x:row r="252">
      <x:c r="A252" s="16" t="n">
        <x:v>252</x:v>
      </x:c>
      <x:c r="B252" s="21" t="str">
        <x:v>PC.000.0109</x:v>
      </x:c>
      <x:c r="C252" s="57" t="str">
        <x:v>Perfil Nivelador M (RCUP-42/alpex6434) PINTAR {1kg.=3,15930} 6m ml}a F0791 F,,</x:v>
      </x:c>
      <x:c r="D252" s="21" t="str">
        <x:v>Alumínio cru</x:v>
      </x:c>
      <x:c r="E252" s="24" t="n">
        <x:v>34.74</x:v>
      </x:c>
      <x:c r="F252" s="34" t="n">
        <x:v>3.1593</x:v>
      </x:c>
      <x:c r="G252" s="21" t="str">
        <x:v>descricao</x:v>
      </x:c>
      <x:c r="H252" s="35" t="n">
        <x:f>IFERROR(E252/F252,"")</x:f>
        <x:v>10.996106732504037</x:v>
      </x:c>
      <x:c r="I252" s="17" t="str">
        <x:v>Precificado</x:v>
      </x:c>
    </x:row>
    <x:row r="253">
      <x:c r="A253" s="16" t="n">
        <x:v>253</x:v>
      </x:c>
      <x:c r="B253" s="21" t="str">
        <x:v>PC.000.386</x:v>
      </x:c>
      <x:c r="C253" s="57" t="str">
        <x:v>Perfil Nivelador M (RCUP-42/alpex6434) Preto pt 6m PCT30m 1/20 (A) (1kg.=3,284m)</x:v>
      </x:c>
      <x:c r="D253" s="21" t="str">
        <x:v>Preto</x:v>
      </x:c>
      <x:c r="E253" s="24" t="n">
        <x:v>39.74</x:v>
      </x:c>
      <x:c r="F253" s="34" t="n">
        <x:v>3.284</x:v>
      </x:c>
      <x:c r="G253" s="21" t="str">
        <x:v>descricao</x:v>
      </x:c>
      <x:c r="H253" s="35" t="n">
        <x:f>IFERROR(E253/F253,"")</x:f>
        <x:v>12.101096224116931</x:v>
      </x:c>
      <x:c r="I253" s="17" t="str">
        <x:v>Precificado</x:v>
      </x:c>
    </x:row>
    <x:row r="254">
      <x:c r="A254" s="16" t="n">
        <x:v>254</x:v>
      </x:c>
      <x:c r="B254" s="21" t="str">
        <x:v>001.008.168.001.33 - 2597</x:v>
      </x:c>
      <x:c r="C254" s="57" t="str">
        <x:v>Perfil Nivelador Rol.(PM-1537 REI813) Bege bg {1KG.=3,465ml} PCT60M (Q.A.F.L UNX) f0791 f,</x:v>
      </x:c>
      <x:c r="D254" s="21" t="str">
        <x:v>Bege</x:v>
      </x:c>
      <x:c r="E254" s="24" t="n">
        <x:v>44.39</x:v>
      </x:c>
      <x:c r="F254" s="34" t="n">
        <x:v>3.465</x:v>
      </x:c>
      <x:c r="G254" s="21" t="str">
        <x:v>descricao</x:v>
      </x:c>
      <x:c r="H254" s="35" t="n">
        <x:f>IFERROR(E254/F254,"")</x:f>
        <x:v>12.810966810966812</x:v>
      </x:c>
      <x:c r="I254" s="17" t="str">
        <x:v>Precificado</x:v>
      </x:c>
    </x:row>
    <x:row r="255">
      <x:c r="A255" s="16" t="n">
        <x:v>255</x:v>
      </x:c>
      <x:c r="B255" s="21" t="str">
        <x:v>001.008.168.001.34 - 2597</x:v>
      </x:c>
      <x:c r="C255" s="57" t="str">
        <x:v>Perfil Nivelador Rol.(PM-1537 REI813) Cinza cz {1kg.=3,465ml} PCT60M (Q.A.F.L UNX) F0234</x:v>
      </x:c>
      <x:c r="D255" s="21" t="str">
        <x:v>Cinza</x:v>
      </x:c>
      <x:c r="E255" s="24" t="n">
        <x:v>42.61</x:v>
      </x:c>
      <x:c r="F255" s="34" t="n">
        <x:v>3.465</x:v>
      </x:c>
      <x:c r="G255" s="21" t="str">
        <x:v>descricao</x:v>
      </x:c>
      <x:c r="H255" s="35" t="n">
        <x:f>IFERROR(E255/F255,"")</x:f>
        <x:v>12.297258297258297</x:v>
      </x:c>
      <x:c r="I255" s="17" t="str">
        <x:v>Precificado</x:v>
      </x:c>
    </x:row>
    <x:row r="256">
      <x:c r="A256" s="16" t="n">
        <x:v>256</x:v>
      </x:c>
      <x:c r="B256" s="21" t="str">
        <x:v>001.008.168.001.35 - 2597</x:v>
      </x:c>
      <x:c r="C256" s="57" t="str">
        <x:v>Perfil Nivelador Rol.(PM-1537 REI813) Marrom {1kg.=3,465ml}PCT6M (Q.A.F.L UNX) F0234</x:v>
      </x:c>
      <x:c r="D256" s="21" t="str">
        <x:v>Marrom</x:v>
      </x:c>
      <x:c r="E256" s="24" t="n">
        <x:v>42.94</x:v>
      </x:c>
      <x:c r="F256" s="34" t="n">
        <x:v>3.465</x:v>
      </x:c>
      <x:c r="G256" s="21" t="str">
        <x:v>descricao</x:v>
      </x:c>
      <x:c r="H256" s="35" t="n">
        <x:f>IFERROR(E256/F256,"")</x:f>
        <x:v>12.392496392496392</x:v>
      </x:c>
      <x:c r="I256" s="17" t="str">
        <x:v>Precificado</x:v>
      </x:c>
    </x:row>
    <x:row r="257">
      <x:c r="A257" s="16" t="n">
        <x:v>257</x:v>
      </x:c>
      <x:c r="B257" s="21" t="str">
        <x:v>001.008.168.001.15</x:v>
      </x:c>
      <x:c r="C257" s="57" t="str">
        <x:v>Perfil Nivelador Rol.(PM-1537 REI813) PINTAR {1kg.=3,465ml}a (Q.A.F.L UNX) f0791 f,,</x:v>
      </x:c>
      <x:c r="D257" s="21" t="str">
        <x:v>Alumínio cru</x:v>
      </x:c>
      <x:c r="E257" s="24" t="n">
        <x:v>34.74</x:v>
      </x:c>
      <x:c r="F257" s="34" t="n">
        <x:v>3.465</x:v>
      </x:c>
      <x:c r="G257" s="21" t="str">
        <x:v>descricao</x:v>
      </x:c>
      <x:c r="H257" s="35" t="n">
        <x:f>IFERROR(E257/F257,"")</x:f>
        <x:v>10.025974025974026</x:v>
      </x:c>
      <x:c r="I257" s="17" t="str">
        <x:v>Precificado</x:v>
      </x:c>
    </x:row>
    <x:row r="258">
      <x:c r="A258" s="16" t="n">
        <x:v>258</x:v>
      </x:c>
      <x:c r="B258" s="21" t="str">
        <x:v>001.008.168.001.36 - 2597</x:v>
      </x:c>
      <x:c r="C258" s="57" t="str">
        <x:v>Perfil Nivelador Rol.(PM-1537 REI813) Preto pt {1kg.=3,465ml} PCT60M (Q.A.F.L UNX) F0234</x:v>
      </x:c>
      <x:c r="D258" s="21" t="str">
        <x:v>Preto</x:v>
      </x:c>
      <x:c r="E258" s="24" t="n">
        <x:v>39.74</x:v>
      </x:c>
      <x:c r="F258" s="34" t="n">
        <x:v>3.465</x:v>
      </x:c>
      <x:c r="G258" s="21" t="str">
        <x:v>descricao</x:v>
      </x:c>
      <x:c r="H258" s="35" t="n">
        <x:f>IFERROR(E258/F258,"")</x:f>
        <x:v>11.46897546897547</x:v>
      </x:c>
      <x:c r="I258" s="17" t="str">
        <x:v>Precificado</x:v>
      </x:c>
    </x:row>
    <x:row r="259">
      <x:c r="A259" s="16" t="n">
        <x:v>259</x:v>
      </x:c>
      <x:c r="B259" s="21" t="str">
        <x:v>PC.000.081</x:v>
      </x:c>
      <x:c r="C259" s="57" t="str">
        <x:v>Perfil Nivelador S (RCUP-25/alpex6429) Bege bg PCT58 (5,8m/6m) 01/20 (B) (1kg.=4,957m) plp2xa</x:v>
      </x:c>
      <x:c r="D259" s="21" t="str">
        <x:v>Bege</x:v>
      </x:c>
      <x:c r="E259" s="24" t="n">
        <x:v>44.39</x:v>
      </x:c>
      <x:c r="F259" s="34" t="n">
        <x:v>4.957</x:v>
      </x:c>
      <x:c r="G259" s="21" t="str">
        <x:v>descricao</x:v>
      </x:c>
      <x:c r="H259" s="35" t="n">
        <x:f>IFERROR(E259/F259,"")</x:f>
        <x:v>8.955013112769821</x:v>
      </x:c>
      <x:c r="I259" s="17" t="str">
        <x:v>Precificado</x:v>
      </x:c>
    </x:row>
    <x:row r="260">
      <x:c r="A260" s="16" t="n">
        <x:v>260</x:v>
      </x:c>
      <x:c r="B260" s="21" t="str">
        <x:v>PC.000.082</x:v>
      </x:c>
      <x:c r="C260" s="57" t="str">
        <x:v>Perfil Nivelador S (RCUP-25/alpex6429) Branco bco 5,8m/6m PCT58 01/20 (A) (1kg.=4,957m) (enro.)</x:v>
      </x:c>
      <x:c r="D260" s="21" t="str">
        <x:v>Branco</x:v>
      </x:c>
      <x:c r="E260" s="24" t="n">
        <x:v>40.57</x:v>
      </x:c>
      <x:c r="F260" s="34" t="n">
        <x:v>4.957</x:v>
      </x:c>
      <x:c r="G260" s="21" t="str">
        <x:v>descricao</x:v>
      </x:c>
      <x:c r="H260" s="35" t="n">
        <x:f>IFERROR(E260/F260,"")</x:f>
        <x:v>8.184385717167642</x:v>
      </x:c>
      <x:c r="I260" s="17" t="str">
        <x:v>Precificado</x:v>
      </x:c>
    </x:row>
    <x:row r="261">
      <x:c r="A261" s="16" t="n">
        <x:v>261</x:v>
      </x:c>
      <x:c r="B261" s="21" t="str">
        <x:v>PC.000.079</x:v>
      </x:c>
      <x:c r="C261" s="57" t="str">
        <x:v>Perfil Nivelador S (RCUP-25/alpex6429) Bronze bz PCT58 (5,8m/6m) 01/20 (1kg.=4,957m) plp2xa</x:v>
      </x:c>
      <x:c r="D261" s="21" t="str">
        <x:v>Bronze</x:v>
      </x:c>
      <x:c r="E261" s="24" t="n">
        <x:v>42.94</x:v>
      </x:c>
      <x:c r="F261" s="34" t="n">
        <x:v>4.957</x:v>
      </x:c>
      <x:c r="G261" s="21" t="str">
        <x:v>descricao</x:v>
      </x:c>
      <x:c r="H261" s="35" t="n">
        <x:f>IFERROR(E261/F261,"")</x:f>
        <x:v>8.662497478313496</x:v>
      </x:c>
      <x:c r="I261" s="17" t="str">
        <x:v>Precificado</x:v>
      </x:c>
    </x:row>
    <x:row r="262">
      <x:c r="A262" s="16" t="n">
        <x:v>262</x:v>
      </x:c>
      <x:c r="B262" s="21" t="str">
        <x:v>PC.000.865</x:v>
      </x:c>
      <x:c r="C262" s="57" t="str">
        <x:v>Perfil Nivelador S (RCUP-25/alpex6429) Cinza PCT30 (6m) 12/24 (1kg.=4,957m)</x:v>
      </x:c>
      <x:c r="D262" s="21" t="str">
        <x:v>Cinza</x:v>
      </x:c>
      <x:c r="E262" s="24" t="n">
        <x:v>42.61</x:v>
      </x:c>
      <x:c r="F262" s="34" t="n">
        <x:v>4.957</x:v>
      </x:c>
      <x:c r="G262" s="21" t="str">
        <x:v>descricao</x:v>
      </x:c>
      <x:c r="H262" s="35" t="n">
        <x:f>IFERROR(E262/F262,"")</x:f>
        <x:v>8.595924954609643</x:v>
      </x:c>
      <x:c r="I262" s="17" t="str">
        <x:v>Precificado</x:v>
      </x:c>
    </x:row>
    <x:row r="263">
      <x:c r="A263" s="16" t="n">
        <x:v>263</x:v>
      </x:c>
      <x:c r="B263" s="21" t="str">
        <x:v>PC.000.077</x:v>
      </x:c>
      <x:c r="C263" s="57" t="str">
        <x:v>Perfil Nivelador S (RCUP-25/alpex6429) Grafite gr PCT58 (5,8m/6m) 01/20 (1kg.=4,957m) plp2xa</x:v>
      </x:c>
      <x:c r="D263" s="21" t="str">
        <x:v>Grafite</x:v>
      </x:c>
      <x:c r="E263" s="24" t="n">
        <x:v>41.980000000000004</x:v>
      </x:c>
      <x:c r="F263" s="34" t="n">
        <x:v>4.957</x:v>
      </x:c>
      <x:c r="G263" s="21" t="str">
        <x:v>descricao</x:v>
      </x:c>
      <x:c r="H263" s="35" t="n">
        <x:f>IFERROR(E263/F263,"")</x:f>
        <x:v>8.468831954811378</x:v>
      </x:c>
      <x:c r="I263" s="17" t="str">
        <x:v>Precificado</x:v>
      </x:c>
    </x:row>
    <x:row r="264">
      <x:c r="A264" s="16" t="n">
        <x:v>264</x:v>
      </x:c>
      <x:c r="B264" s="21" t="str">
        <x:v>PC.000.0110</x:v>
      </x:c>
      <x:c r="C264" s="57" t="str">
        <x:v>Perfil Nivelador S (RCUP-25/alpex6429) PINTAR 6m (1kg.=5,126m) ml}a plp2xa</x:v>
      </x:c>
      <x:c r="D264" s="21" t="str">
        <x:v>Alumínio cru</x:v>
      </x:c>
      <x:c r="E264" s="24" t="n">
        <x:v>34.74</x:v>
      </x:c>
      <x:c r="F264" s="34" t="n">
        <x:v>5.126</x:v>
      </x:c>
      <x:c r="G264" s="21" t="str">
        <x:v>descricao</x:v>
      </x:c>
      <x:c r="H264" s="35" t="n">
        <x:f>IFERROR(E264/F264,"")</x:f>
        <x:v>6.777214202106906</x:v>
      </x:c>
      <x:c r="I264" s="17" t="str">
        <x:v>Precificado</x:v>
      </x:c>
    </x:row>
    <x:row r="265">
      <x:c r="A265" s="16" t="n">
        <x:v>265</x:v>
      </x:c>
      <x:c r="B265" s="21" t="str">
        <x:v>PC.000.078</x:v>
      </x:c>
      <x:c r="C265" s="57" t="str">
        <x:v>Perfil Nivelador S (RCUP-25/alpex6429) Preto pt (B) PCT58 (5,8m/6m) 01/20 (1kg.=4,957m) (enro.)</x:v>
      </x:c>
      <x:c r="D265" s="21" t="str">
        <x:v>Preto</x:v>
      </x:c>
      <x:c r="E265" s="24" t="n">
        <x:v>39.74</x:v>
      </x:c>
      <x:c r="F265" s="34" t="n">
        <x:v>4.957</x:v>
      </x:c>
      <x:c r="G265" s="21" t="str">
        <x:v>descricao</x:v>
      </x:c>
      <x:c r="H265" s="35" t="n">
        <x:f>IFERROR(E265/F265,"")</x:f>
        <x:v>8.016945733306436</x:v>
      </x:c>
      <x:c r="I265" s="17" t="str">
        <x:v>Precificado</x:v>
      </x:c>
    </x:row>
    <x:row r="266">
      <x:c r="A266" s="16" t="n">
        <x:v>266</x:v>
      </x:c>
      <x:c r="B266" s="21" t="str">
        <x:v>RB000038</x:v>
      </x:c>
      <x:c r="C266" s="57" t="str">
        <x:v>Perfil Nivelador Spring Move/Barco (REI.766) Branco bco {1kg.=3,02}02.19 PCT6 f.n.p</x:v>
      </x:c>
      <x:c r="D266" s="21" t="str">
        <x:v>Branco</x:v>
      </x:c>
      <x:c r="E266" s="24" t="n">
        <x:v>40.57</x:v>
      </x:c>
      <x:c r="F266" s="34" t="n">
        <x:v>3.02</x:v>
      </x:c>
      <x:c r="G266" s="21" t="str">
        <x:v>descricao</x:v>
      </x:c>
      <x:c r="H266" s="35" t="n">
        <x:f>IFERROR(E266/F266,"")</x:f>
        <x:v>13.433774834437086</x:v>
      </x:c>
      <x:c r="I266" s="17" t="str">
        <x:v>Precificado</x:v>
      </x:c>
    </x:row>
    <x:row r="267">
      <x:c r="A267" s="16" t="n">
        <x:v>267</x:v>
      </x:c>
      <x:c r="B267" s="21" t="str">
        <x:v>001.008.168.000.11 - 766</x:v>
      </x:c>
      <x:c r="C267" s="57" t="str">
        <x:v>Perfil Nivelador Spring Move/Barco (REI.766) PINTAR {1kg.=3,02ml}a  02/2019 F0791 F,, f.n.p</x:v>
      </x:c>
      <x:c r="D267" s="21" t="str">
        <x:v>Alumínio cru</x:v>
      </x:c>
      <x:c r="E267" s="24" t="n">
        <x:v>34.74</x:v>
      </x:c>
      <x:c r="F267" s="34" t="n">
        <x:v>3.02</x:v>
      </x:c>
      <x:c r="G267" s="21" t="str">
        <x:v>descricao</x:v>
      </x:c>
      <x:c r="H267" s="35" t="n">
        <x:f>IFERROR(E267/F267,"")</x:f>
        <x:v>11.503311258278146</x:v>
      </x:c>
      <x:c r="I267" s="17" t="str">
        <x:v>Precificado</x:v>
      </x:c>
    </x:row>
    <x:row r="268">
      <x:c r="A268" s="16" t="n">
        <x:v>268</x:v>
      </x:c>
      <x:c r="B268" s="21" t="str">
        <x:v>PR.000.000.017</x:v>
      </x:c>
      <x:c r="C268" s="57" t="str">
        <x:v>Perfil P322 Rail (025382) 09/24 raex. ml}a</x:v>
      </x:c>
      <x:c r="D268" s="21" t="str">
        <x:v>Alumínio cru</x:v>
      </x:c>
      <x:c r="E268" s="24" t="n">
        <x:v>34.74</x:v>
      </x:c>
      <x:c r="F268" s="34"/>
      <x:c r="G268" s="21" t="str">
        <x:v>sem-fator</x:v>
      </x:c>
      <x:c r="H268" s="35" t="str">
        <x:f>IFERROR(E268/F268,"")</x:f>
      </x:c>
      <x:c r="I268" s="17" t="str">
        <x:v>Pendente</x:v>
      </x:c>
    </x:row>
    <x:row r="269">
      <x:c r="A269" s="16" t="n">
        <x:v>269</x:v>
      </x:c>
      <x:c r="B269" s="21" t="str">
        <x:v>1008168233</x:v>
      </x:c>
      <x:c r="C269" s="57" t="str">
        <x:v>Perfil Painel. Bastao Aluminum Wand Black 0-181-CA-0300B-4,88m (1kg.=13,88m)(excl vert)MPSLVM</x:v>
      </x:c>
      <x:c r="D269" s="21" t="str">
        <x:v>Alumínio cru</x:v>
      </x:c>
      <x:c r="E269" s="24" t="n">
        <x:v>34.74</x:v>
      </x:c>
      <x:c r="F269" s="34" t="n">
        <x:v>13.88</x:v>
      </x:c>
      <x:c r="G269" s="21" t="str">
        <x:v>descricao</x:v>
      </x:c>
      <x:c r="H269" s="35" t="n">
        <x:f>IFERROR(E269/F269,"")</x:f>
        <x:v>2.5028818443804033</x:v>
      </x:c>
      <x:c r="I269" s="17" t="str">
        <x:v>Precificado</x:v>
      </x:c>
    </x:row>
    <x:row r="270">
      <x:c r="A270" s="16" t="n">
        <x:v>270</x:v>
      </x:c>
      <x:c r="B270" s="21" t="str">
        <x:v>001.008.002.060.80</x:v>
      </x:c>
      <x:c r="C270" s="57" t="str">
        <x:v>Perfil Peso de Base Diamond (3438) Bege bg {1KG.=7,186ml} PC6M</x:v>
      </x:c>
      <x:c r="D270" s="21" t="str">
        <x:v>Bege</x:v>
      </x:c>
      <x:c r="E270" s="24" t="n">
        <x:v>44.39</x:v>
      </x:c>
      <x:c r="F270" s="34" t="n">
        <x:v>7.186</x:v>
      </x:c>
      <x:c r="G270" s="21" t="str">
        <x:v>descricao</x:v>
      </x:c>
      <x:c r="H270" s="35" t="n">
        <x:f>IFERROR(E270/F270,"")</x:f>
        <x:v>6.177289173392708</x:v>
      </x:c>
      <x:c r="I270" s="17" t="str">
        <x:v>Precificado</x:v>
      </x:c>
    </x:row>
    <x:row r="271">
      <x:c r="A271" s="16" t="n">
        <x:v>271</x:v>
      </x:c>
      <x:c r="B271" s="21" t="str">
        <x:v>001.008.002.001.40</x:v>
      </x:c>
      <x:c r="C271" s="57" t="str">
        <x:v>Perfil Peso de Base Diamond (3438) Branco bco (B) {1KG.=7,186ml} PCT60M</x:v>
      </x:c>
      <x:c r="D271" s="21" t="str">
        <x:v>Branco</x:v>
      </x:c>
      <x:c r="E271" s="24" t="n">
        <x:v>40.57</x:v>
      </x:c>
      <x:c r="F271" s="34" t="n">
        <x:v>7.186</x:v>
      </x:c>
      <x:c r="G271" s="21" t="str">
        <x:v>descricao</x:v>
      </x:c>
      <x:c r="H271" s="35" t="n">
        <x:f>IFERROR(E271/F271,"")</x:f>
        <x:v>5.645699972168105</x:v>
      </x:c>
      <x:c r="I271" s="17" t="str">
        <x:v>Precificado</x:v>
      </x:c>
    </x:row>
    <x:row r="272">
      <x:c r="A272" s="16" t="n">
        <x:v>272</x:v>
      </x:c>
      <x:c r="B272" s="21" t="str">
        <x:v>001.008.002.060.8</x:v>
      </x:c>
      <x:c r="C272" s="57" t="str">
        <x:v>Perfil Peso de Base Diamond (3438) Bronze bz {1KG.=7,186ml} PCT6M</x:v>
      </x:c>
      <x:c r="D272" s="21" t="str">
        <x:v>Bronze</x:v>
      </x:c>
      <x:c r="E272" s="24" t="n">
        <x:v>42.94</x:v>
      </x:c>
      <x:c r="F272" s="34" t="n">
        <x:v>7.186</x:v>
      </x:c>
      <x:c r="G272" s="21" t="str">
        <x:v>descricao</x:v>
      </x:c>
      <x:c r="H272" s="35" t="n">
        <x:f>IFERROR(E272/F272,"")</x:f>
        <x:v>5.975507932090175</x:v>
      </x:c>
      <x:c r="I272" s="17" t="str">
        <x:v>Precificado</x:v>
      </x:c>
    </x:row>
    <x:row r="273">
      <x:c r="A273" s="16" t="n">
        <x:v>273</x:v>
      </x:c>
      <x:c r="B273" s="21" t="str">
        <x:v>1008002061</x:v>
      </x:c>
      <x:c r="C273" s="57" t="str">
        <x:v>Perfil Peso de Base Diamond (3438) Cinza cz {1kg.=7,186m} PCT30M</x:v>
      </x:c>
      <x:c r="D273" s="21" t="str">
        <x:v>Cinza</x:v>
      </x:c>
      <x:c r="E273" s="24" t="n">
        <x:v>42.61</x:v>
      </x:c>
      <x:c r="F273" s="34" t="n">
        <x:v>7.186</x:v>
      </x:c>
      <x:c r="G273" s="21" t="str">
        <x:v>descricao</x:v>
      </x:c>
      <x:c r="H273" s="35" t="n">
        <x:f>IFERROR(E273/F273,"")</x:f>
        <x:v>5.929585304759254</x:v>
      </x:c>
      <x:c r="I273" s="17" t="str">
        <x:v>Precificado</x:v>
      </x:c>
    </x:row>
    <x:row r="274">
      <x:c r="A274" s="16" t="n">
        <x:v>274</x:v>
      </x:c>
      <x:c r="B274" s="21" t="str">
        <x:v>001.008.002.001.38</x:v>
      </x:c>
      <x:c r="C274" s="57" t="str">
        <x:v>Perfil Peso de Base Diamond (3438) PINTAR {1kg.=7,186ml}a F0791 F,plp2xa</x:v>
      </x:c>
      <x:c r="D274" s="21" t="str">
        <x:v>Alumínio cru</x:v>
      </x:c>
      <x:c r="E274" s="24" t="n">
        <x:v>34.74</x:v>
      </x:c>
      <x:c r="F274" s="34" t="n">
        <x:v>7.186</x:v>
      </x:c>
      <x:c r="G274" s="21" t="str">
        <x:v>descricao</x:v>
      </x:c>
      <x:c r="H274" s="35" t="n">
        <x:f>IFERROR(E274/F274,"")</x:f>
        <x:v>4.834400222655163</x:v>
      </x:c>
      <x:c r="I274" s="17" t="str">
        <x:v>Precificado</x:v>
      </x:c>
    </x:row>
    <x:row r="275">
      <x:c r="A275" s="16" t="n">
        <x:v>275</x:v>
      </x:c>
      <x:c r="B275" s="21" t="str">
        <x:v>001.008.002.233.12</x:v>
      </x:c>
      <x:c r="C275" s="57" t="str">
        <x:v>Perfil Peso de Base Diamond (3438) Preto pt {1KG.=7,186ml} PCT6M</x:v>
      </x:c>
      <x:c r="D275" s="21" t="str">
        <x:v>Preto</x:v>
      </x:c>
      <x:c r="E275" s="24" t="n">
        <x:v>39.74</x:v>
      </x:c>
      <x:c r="F275" s="34" t="n">
        <x:v>7.186</x:v>
      </x:c>
      <x:c r="G275" s="21" t="str">
        <x:v>descricao</x:v>
      </x:c>
      <x:c r="H275" s="35" t="n">
        <x:f>IFERROR(E275/F275,"")</x:f>
        <x:v>5.530197606457</x:v>
      </x:c>
      <x:c r="I275" s="17" t="str">
        <x:v>Precificado</x:v>
      </x:c>
    </x:row>
    <x:row r="276">
      <x:c r="A276" s="16" t="n">
        <x:v>276</x:v>
      </x:c>
      <x:c r="B276" s="21" t="str">
        <x:v>TD.000.007</x:v>
      </x:c>
      <x:c r="C276" s="57" t="str">
        <x:v>Perfil Registro Screen (80170026) kg. F0791 F,,</x:v>
      </x:c>
      <x:c r="D276" s="21" t="str">
        <x:v>Alumínio cru</x:v>
      </x:c>
      <x:c r="E276" s="24" t="n">
        <x:v>34.74</x:v>
      </x:c>
      <x:c r="F276" s="34"/>
      <x:c r="G276" s="21" t="str">
        <x:v>sem-fator</x:v>
      </x:c>
      <x:c r="H276" s="35" t="str">
        <x:f>IFERROR(E276/F276,"")</x:f>
      </x:c>
      <x:c r="I276" s="17" t="str">
        <x:v>Pendente</x:v>
      </x:c>
    </x:row>
    <x:row r="277">
      <x:c r="A277" s="16" t="n">
        <x:v>277</x:v>
      </x:c>
      <x:c r="B277" s="21" t="str">
        <x:v>PS.000.638</x:v>
      </x:c>
      <x:c r="C277" s="57" t="str">
        <x:v>Perfil RollP.Max Cx .Pintar TMR4354-4M (e7m) UX-0102 {1kg.=0,393ml}subst4188</x:v>
      </x:c>
      <x:c r="D277" s="21" t="str">
        <x:v>Alumínio cru</x:v>
      </x:c>
      <x:c r="E277" s="24" t="n">
        <x:v>34.74</x:v>
      </x:c>
      <x:c r="F277" s="34" t="n">
        <x:v>0.393</x:v>
      </x:c>
      <x:c r="G277" s="21" t="str">
        <x:v>descricao</x:v>
      </x:c>
      <x:c r="H277" s="35" t="n">
        <x:f>IFERROR(E277/F277,"")</x:f>
        <x:v>88.3969465648855</x:v>
      </x:c>
      <x:c r="I277" s="17" t="str">
        <x:v>Precificado</x:v>
      </x:c>
    </x:row>
    <x:row r="278">
      <x:c r="A278" s="16" t="n">
        <x:v>278</x:v>
      </x:c>
      <x:c r="B278" s="21" t="str">
        <x:v>PS.000.639</x:v>
      </x:c>
      <x:c r="C278" s="57" t="str">
        <x:v>Perfil RollP.Max Cx .Pintar TMR4354-7M (e4m) UX-0102 ml}a {1kg.=0,343324m}sst4188</x:v>
      </x:c>
      <x:c r="D278" s="21" t="str">
        <x:v>Alumínio cru</x:v>
      </x:c>
      <x:c r="E278" s="24" t="n">
        <x:v>34.74</x:v>
      </x:c>
      <x:c r="F278" s="34" t="n">
        <x:v>0.343324</x:v>
      </x:c>
      <x:c r="G278" s="21" t="str">
        <x:v>descricao</x:v>
      </x:c>
      <x:c r="H278" s="35" t="n">
        <x:f>IFERROR(E278/F278,"")</x:f>
        <x:v>101.18721673987254</x:v>
      </x:c>
      <x:c r="I278" s="17" t="str">
        <x:v>Precificado</x:v>
      </x:c>
    </x:row>
    <x:row r="279">
      <x:c r="A279" s="16" t="n">
        <x:v>279</x:v>
      </x:c>
      <x:c r="B279" s="21" t="str">
        <x:v>PS.000.537</x:v>
      </x:c>
      <x:c r="C279" s="57" t="str">
        <x:v>Perfil RollP.Max Cx .Pintar4,00m(6e7m)UX-0102(TMR4188-4)1kg.=0,464m ml}a q.a.ss.cn</x:v>
      </x:c>
      <x:c r="D279" s="21" t="str">
        <x:v>Alumínio cru</x:v>
      </x:c>
      <x:c r="E279" s="24" t="n">
        <x:v>34.74</x:v>
      </x:c>
      <x:c r="F279" s="34" t="n">
        <x:v>0.464</x:v>
      </x:c>
      <x:c r="G279" s="21" t="str">
        <x:v>descricao</x:v>
      </x:c>
      <x:c r="H279" s="35" t="n">
        <x:f>IFERROR(E279/F279,"")</x:f>
        <x:v>74.87068965517241</x:v>
      </x:c>
      <x:c r="I279" s="17" t="str">
        <x:v>Precificado</x:v>
      </x:c>
    </x:row>
    <x:row r="280">
      <x:c r="A280" s="16" t="n">
        <x:v>280</x:v>
      </x:c>
      <x:c r="B280" s="21" t="str">
        <x:v>PS.000.490</x:v>
      </x:c>
      <x:c r="C280" s="57" t="str">
        <x:v>Perfil RollP.Max Cx .Pintar6,00m(4e7m)UX-0102(TMR4188-6)1kg.=0,462m ml}a a.a.ss cn</x:v>
      </x:c>
      <x:c r="D280" s="21" t="str">
        <x:v>Alumínio cru</x:v>
      </x:c>
      <x:c r="E280" s="24" t="n">
        <x:v>34.74</x:v>
      </x:c>
      <x:c r="F280" s="34" t="n">
        <x:v>0.462</x:v>
      </x:c>
      <x:c r="G280" s="21" t="str">
        <x:v>descricao</x:v>
      </x:c>
      <x:c r="H280" s="35" t="n">
        <x:f>IFERROR(E280/F280,"")</x:f>
        <x:v>75.1948051948052</x:v>
      </x:c>
      <x:c r="I280" s="17" t="str">
        <x:v>Precificado</x:v>
      </x:c>
    </x:row>
    <x:row r="281">
      <x:c r="A281" s="16" t="n">
        <x:v>281</x:v>
      </x:c>
      <x:c r="B281" s="21" t="str">
        <x:v>PS.000.634</x:v>
      </x:c>
      <x:c r="C281" s="57" t="str">
        <x:v>Perfil RollP.Max Cx Branco TMR4354-4M (e7m) UX-0102 ()subst4188 (B) 1kg.0,3977=</x:v>
      </x:c>
      <x:c r="D281" s="21" t="str">
        <x:v>Branco</x:v>
      </x:c>
      <x:c r="E281" s="24" t="n">
        <x:v>40.57</x:v>
      </x:c>
      <x:c r="F281" s="34" t="n">
        <x:v>0.3977</x:v>
      </x:c>
      <x:c r="G281" s="21" t="str">
        <x:v>descricao</x:v>
      </x:c>
      <x:c r="H281" s="35" t="n">
        <x:f>IFERROR(E281/F281,"")</x:f>
        <x:v>102.01156650741765</x:v>
      </x:c>
      <x:c r="I281" s="17" t="str">
        <x:v>Precificado</x:v>
      </x:c>
    </x:row>
    <x:row r="282">
      <x:c r="A282" s="16" t="n">
        <x:v>282</x:v>
      </x:c>
      <x:c r="B282" s="21" t="str">
        <x:v>PS.000.635</x:v>
      </x:c>
      <x:c r="C282" s="57" t="str">
        <x:v>Perfil RollP.Max Cx Branco TMR4354-7M (e4m) UX-0102 (B) (1kg.=0,404) subst4188</x:v>
      </x:c>
      <x:c r="D282" s="21" t="str">
        <x:v>Branco</x:v>
      </x:c>
      <x:c r="E282" s="24" t="n">
        <x:v>40.57</x:v>
      </x:c>
      <x:c r="F282" s="34" t="n">
        <x:v>0.404</x:v>
      </x:c>
      <x:c r="G282" s="21" t="str">
        <x:v>descricao</x:v>
      </x:c>
      <x:c r="H282" s="35" t="n">
        <x:f>IFERROR(E282/F282,"")</x:f>
        <x:v>100.42079207920791</x:v>
      </x:c>
      <x:c r="I282" s="17" t="str">
        <x:v>Precificado</x:v>
      </x:c>
    </x:row>
    <x:row r="283">
      <x:c r="A283" s="16" t="n">
        <x:v>283</x:v>
      </x:c>
      <x:c r="B283" s="21" t="str">
        <x:v>PS.000.489</x:v>
      </x:c>
      <x:c r="C283" s="57" t="str">
        <x:v>Perfil RollP.Max Cx Branco6,00m(4e7m)UX-0102(TMR4188-6) (A) 1kg.=0,462m q.a.ss cn</x:v>
      </x:c>
      <x:c r="D283" s="21" t="str">
        <x:v>Alumínio cru</x:v>
      </x:c>
      <x:c r="E283" s="24" t="n">
        <x:v>34.74</x:v>
      </x:c>
      <x:c r="F283" s="34" t="n">
        <x:v>0.462</x:v>
      </x:c>
      <x:c r="G283" s="21" t="str">
        <x:v>descricao</x:v>
      </x:c>
      <x:c r="H283" s="35" t="n">
        <x:f>IFERROR(E283/F283,"")</x:f>
        <x:v>75.1948051948052</x:v>
      </x:c>
      <x:c r="I283" s="17" t="str">
        <x:v>Precificado</x:v>
      </x:c>
    </x:row>
    <x:row r="284">
      <x:c r="A284" s="16" t="n">
        <x:v>284</x:v>
      </x:c>
      <x:c r="B284" s="21" t="str">
        <x:v>PS.000.539</x:v>
      </x:c>
      <x:c r="C284" s="57" t="str">
        <x:v>Perfil RollP.Max Cx Bronze Uniluxbz1003 4,00m(6e7m)UX-0102(TMR4188-4)1kg.=0,447m  kg. q.a.ss.c.n</x:v>
      </x:c>
      <x:c r="D284" s="21" t="str">
        <x:v>Bronze</x:v>
      </x:c>
      <x:c r="E284" s="24" t="n">
        <x:v>42.94</x:v>
      </x:c>
      <x:c r="F284" s="34" t="n">
        <x:v>0.447</x:v>
      </x:c>
      <x:c r="G284" s="21" t="str">
        <x:v>descricao</x:v>
      </x:c>
      <x:c r="H284" s="35" t="n">
        <x:f>IFERROR(E284/F284,"")</x:f>
        <x:v>96.06263982102908</x:v>
      </x:c>
      <x:c r="I284" s="17" t="str">
        <x:v>Precificado</x:v>
      </x:c>
    </x:row>
    <x:row r="285">
      <x:c r="A285" s="16" t="n">
        <x:v>285</x:v>
      </x:c>
      <x:c r="B285" s="21" t="str">
        <x:v>PS.000.487</x:v>
      </x:c>
      <x:c r="C285" s="57" t="str">
        <x:v>Perfil RollP.Max Cx Bronze Uniluxbz1003 6m (4e7m)UX-0102(TMR4188-6)1kg.=0,447m f.l.ss cn</x:v>
      </x:c>
      <x:c r="D285" s="21" t="str">
        <x:v>Bronze</x:v>
      </x:c>
      <x:c r="E285" s="24" t="n">
        <x:v>42.94</x:v>
      </x:c>
      <x:c r="F285" s="34" t="n">
        <x:v>0.447</x:v>
      </x:c>
      <x:c r="G285" s="21" t="str">
        <x:v>descricao</x:v>
      </x:c>
      <x:c r="H285" s="35" t="n">
        <x:f>IFERROR(E285/F285,"")</x:f>
        <x:v>96.06263982102908</x:v>
      </x:c>
      <x:c r="I285" s="17" t="str">
        <x:v>Precificado</x:v>
      </x:c>
    </x:row>
    <x:row r="286">
      <x:c r="A286" s="16" t="n">
        <x:v>286</x:v>
      </x:c>
      <x:c r="B286" s="21" t="str">
        <x:v>PS.000.636</x:v>
      </x:c>
      <x:c r="C286" s="57" t="str">
        <x:v>Perfil RollP.Max Cx Bronze Uniluxbz1003 TMR4354-4M (e7m) UX-0102 Unico 1kg.=0,447m}subst4188</x:v>
      </x:c>
      <x:c r="D286" s="21" t="str">
        <x:v>Bronze</x:v>
      </x:c>
      <x:c r="E286" s="24" t="n">
        <x:v>42.94</x:v>
      </x:c>
      <x:c r="F286" s="34" t="n">
        <x:v>0.447</x:v>
      </x:c>
      <x:c r="G286" s="21" t="str">
        <x:v>descricao</x:v>
      </x:c>
      <x:c r="H286" s="35" t="n">
        <x:f>IFERROR(E286/F286,"")</x:f>
        <x:v>96.06263982102908</x:v>
      </x:c>
      <x:c r="I286" s="17" t="str">
        <x:v>Precificado</x:v>
      </x:c>
    </x:row>
    <x:row r="287">
      <x:c r="A287" s="16" t="n">
        <x:v>287</x:v>
      </x:c>
      <x:c r="B287" s="21" t="str">
        <x:v>PS.000.637</x:v>
      </x:c>
      <x:c r="C287" s="57" t="str">
        <x:v>Perfil RollP.Max Cx Bronze Uniluxbz1003 TMR4354-7M (e4m) UX-0102 Unico (kg=0,404) sst4188</x:v>
      </x:c>
      <x:c r="D287" s="21" t="str">
        <x:v>Bronze</x:v>
      </x:c>
      <x:c r="E287" s="24" t="n">
        <x:v>42.94</x:v>
      </x:c>
      <x:c r="F287" s="34" t="n">
        <x:v>0.404</x:v>
      </x:c>
      <x:c r="G287" s="21" t="str">
        <x:v>descricao</x:v>
      </x:c>
      <x:c r="H287" s="35" t="n">
        <x:f>IFERROR(E287/F287,"")</x:f>
        <x:v>106.28712871287128</x:v>
      </x:c>
      <x:c r="I287" s="17" t="str">
        <x:v>Precificado</x:v>
      </x:c>
    </x:row>
    <x:row r="288">
      <x:c r="A288" s="16" t="n">
        <x:v>288</x:v>
      </x:c>
      <x:c r="B288" s="21" t="str">
        <x:v>PS.000.640</x:v>
      </x:c>
      <x:c r="C288" s="57" t="str">
        <x:v>Perfil RollP.Max Cx Preto TMR4354-4M (e7m) UX-0102 subst4188{1kg.=0,447m}</x:v>
      </x:c>
      <x:c r="D288" s="21" t="str">
        <x:v>Preto</x:v>
      </x:c>
      <x:c r="E288" s="24" t="n">
        <x:v>39.74</x:v>
      </x:c>
      <x:c r="F288" s="34" t="n">
        <x:v>0.447</x:v>
      </x:c>
      <x:c r="G288" s="21" t="str">
        <x:v>descricao</x:v>
      </x:c>
      <x:c r="H288" s="35" t="n">
        <x:f>IFERROR(E288/F288,"")</x:f>
        <x:v>88.90380313199105</x:v>
      </x:c>
      <x:c r="I288" s="17" t="str">
        <x:v>Precificado</x:v>
      </x:c>
    </x:row>
    <x:row r="289">
      <x:c r="A289" s="16" t="n">
        <x:v>289</x:v>
      </x:c>
      <x:c r="B289" s="21" t="str">
        <x:v>PS.000.641</x:v>
      </x:c>
      <x:c r="C289" s="57" t="str">
        <x:v>Perfil RollP.Max Cx Preto TMR4354-7M (e4m) UX-0102 (1kg.=0,404) subst4188</x:v>
      </x:c>
      <x:c r="D289" s="21" t="str">
        <x:v>Preto</x:v>
      </x:c>
      <x:c r="E289" s="24" t="n">
        <x:v>39.74</x:v>
      </x:c>
      <x:c r="F289" s="34" t="n">
        <x:v>0.404</x:v>
      </x:c>
      <x:c r="G289" s="21" t="str">
        <x:v>descricao</x:v>
      </x:c>
      <x:c r="H289" s="35" t="n">
        <x:f>IFERROR(E289/F289,"")</x:f>
        <x:v>98.36633663366337</x:v>
      </x:c>
      <x:c r="I289" s="17" t="str">
        <x:v>Precificado</x:v>
      </x:c>
    </x:row>
    <x:row r="290">
      <x:c r="A290" s="16" t="n">
        <x:v>290</x:v>
      </x:c>
      <x:c r="B290" s="21" t="str">
        <x:v>PS.000.540</x:v>
      </x:c>
      <x:c r="C290" s="57" t="str">
        <x:v>Perfil RollP.Max Cx Preto4,00m(6e7m)UX-0102(TMR4188-4) (B) 1kg.=0,447m (a.c.t.d). q.a.ss cn</x:v>
      </x:c>
      <x:c r="D290" s="21" t="str">
        <x:v>Alumínio cru</x:v>
      </x:c>
      <x:c r="E290" s="24" t="n">
        <x:v>34.74</x:v>
      </x:c>
      <x:c r="F290" s="34" t="n">
        <x:v>0.447</x:v>
      </x:c>
      <x:c r="G290" s="21" t="str">
        <x:v>descricao</x:v>
      </x:c>
      <x:c r="H290" s="35" t="n">
        <x:f>IFERROR(E290/F290,"")</x:f>
        <x:v>77.71812080536913</x:v>
      </x:c>
      <x:c r="I290" s="17" t="str">
        <x:v>Precificado</x:v>
      </x:c>
    </x:row>
    <x:row r="291">
      <x:c r="A291" s="16" t="n">
        <x:v>291</x:v>
      </x:c>
      <x:c r="B291" s="21" t="str">
        <x:v>PS.000.488</x:v>
      </x:c>
      <x:c r="C291" s="57" t="str">
        <x:v>Perfil RollP.Max Cx Preto6,00m(4e7m)UX-0102(TMR4188-6) (B) 1kg.=0,447m q.a.ss cn</x:v>
      </x:c>
      <x:c r="D291" s="21" t="str">
        <x:v>Alumínio cru</x:v>
      </x:c>
      <x:c r="E291" s="24" t="n">
        <x:v>34.74</x:v>
      </x:c>
      <x:c r="F291" s="34" t="n">
        <x:v>0.447</x:v>
      </x:c>
      <x:c r="G291" s="21" t="str">
        <x:v>descricao</x:v>
      </x:c>
      <x:c r="H291" s="35" t="n">
        <x:f>IFERROR(E291/F291,"")</x:f>
        <x:v>77.71812080536913</x:v>
      </x:c>
      <x:c r="I291" s="17" t="str">
        <x:v>Precificado</x:v>
      </x:c>
    </x:row>
    <x:row r="292">
      <x:c r="A292" s="16" t="n">
        <x:v>292</x:v>
      </x:c>
      <x:c r="B292" s="21" t="str">
        <x:v>PS.000.485</x:v>
      </x:c>
      <x:c r="C292" s="57" t="str">
        <x:v>Perfil RollP.Max Cx Preto7,00m(4e6m)UX-0102(TMR4188-7) (B) 1kg.=0,447m ( q.a.f.l.ss</x:v>
      </x:c>
      <x:c r="D292" s="21" t="str">
        <x:v>Alumínio cru</x:v>
      </x:c>
      <x:c r="E292" s="24" t="n">
        <x:v>34.74</x:v>
      </x:c>
      <x:c r="F292" s="34" t="n">
        <x:v>0.447</x:v>
      </x:c>
      <x:c r="G292" s="21" t="str">
        <x:v>descricao</x:v>
      </x:c>
      <x:c r="H292" s="35" t="n">
        <x:f>IFERROR(E292/F292,"")</x:f>
        <x:v>77.71812080536913</x:v>
      </x:c>
      <x:c r="I292" s="17" t="str">
        <x:v>Precificado</x:v>
      </x:c>
    </x:row>
    <x:row r="293">
      <x:c r="A293" s="16" t="n">
        <x:v>293</x:v>
      </x:c>
      <x:c r="B293" s="21" t="str">
        <x:v>PS.000.533</x:v>
      </x:c>
      <x:c r="C293" s="57" t="str">
        <x:v>Perfil RollP.Max Cx Sust. .Pintar TMR4187-4M (e7m) UX-0101 (1kg.=0,598ml}a</x:v>
      </x:c>
      <x:c r="D293" s="21" t="str">
        <x:v>Alumínio cru</x:v>
      </x:c>
      <x:c r="E293" s="24" t="n">
        <x:v>34.74</x:v>
      </x:c>
      <x:c r="F293" s="34" t="n">
        <x:v>0.598</x:v>
      </x:c>
      <x:c r="G293" s="21" t="str">
        <x:v>descricao</x:v>
      </x:c>
      <x:c r="H293" s="35" t="n">
        <x:f>IFERROR(E293/F293,"")</x:f>
        <x:v>58.09364548494984</x:v>
      </x:c>
      <x:c r="I293" s="17" t="str">
        <x:v>Precificado</x:v>
      </x:c>
    </x:row>
    <x:row r="294">
      <x:c r="A294" s="16" t="n">
        <x:v>294</x:v>
      </x:c>
      <x:c r="B294" s="21" t="str">
        <x:v>PS.000.482</x:v>
      </x:c>
      <x:c r="C294" s="57" t="str">
        <x:v>Perfil RollP.Max Cx Sust. .Pintar TMR4187-7M (e4m) UX-0101 {1kg.=0,586m} ml}a</x:v>
      </x:c>
      <x:c r="D294" s="21" t="str">
        <x:v>Alumínio cru</x:v>
      </x:c>
      <x:c r="E294" s="24" t="n">
        <x:v>34.74</x:v>
      </x:c>
      <x:c r="F294" s="34" t="n">
        <x:v>0.586</x:v>
      </x:c>
      <x:c r="G294" s="21" t="str">
        <x:v>descricao</x:v>
      </x:c>
      <x:c r="H294" s="35" t="n">
        <x:f>IFERROR(E294/F294,"")</x:f>
        <x:v>59.283276450511956</x:v>
      </x:c>
      <x:c r="I294" s="17" t="str">
        <x:v>Precificado</x:v>
      </x:c>
    </x:row>
    <x:row r="295">
      <x:c r="A295" s="16" t="n">
        <x:v>295</x:v>
      </x:c>
      <x:c r="B295" s="21" t="str">
        <x:v>PS.000.534</x:v>
      </x:c>
      <x:c r="C295" s="57" t="str">
        <x:v>Perfil RollP.Max Cx Sust. Branco TMR4187-4M (6e7m) UX-0101 (B) (1kg.=0,597)</x:v>
      </x:c>
      <x:c r="D295" s="21" t="str">
        <x:v>Branco</x:v>
      </x:c>
      <x:c r="E295" s="24" t="n">
        <x:v>40.57</x:v>
      </x:c>
      <x:c r="F295" s="34" t="n">
        <x:v>0.597</x:v>
      </x:c>
      <x:c r="G295" s="21" t="str">
        <x:v>descricao</x:v>
      </x:c>
      <x:c r="H295" s="35" t="n">
        <x:f>IFERROR(E295/F295,"")</x:f>
        <x:v>67.95644891122278</x:v>
      </x:c>
      <x:c r="I295" s="17" t="str">
        <x:v>Precificado</x:v>
      </x:c>
    </x:row>
    <x:row r="296">
      <x:c r="A296" s="16" t="n">
        <x:v>296</x:v>
      </x:c>
      <x:c r="B296" s="21" t="str">
        <x:v>PS.000.479</x:v>
      </x:c>
      <x:c r="C296" s="57" t="str">
        <x:v>Perfil RollP.Max Cx Sust. Branco TMR4187-7M (4e6m) UX-0101 (B) (1kg.=0,587)</x:v>
      </x:c>
      <x:c r="D296" s="21" t="str">
        <x:v>Branco</x:v>
      </x:c>
      <x:c r="E296" s="24" t="n">
        <x:v>40.57</x:v>
      </x:c>
      <x:c r="F296" s="34" t="n">
        <x:v>0.587</x:v>
      </x:c>
      <x:c r="G296" s="21" t="str">
        <x:v>descricao</x:v>
      </x:c>
      <x:c r="H296" s="35" t="n">
        <x:f>IFERROR(E296/F296,"")</x:f>
        <x:v>69.11413969335605</x:v>
      </x:c>
      <x:c r="I296" s="17" t="str">
        <x:v>Precificado</x:v>
      </x:c>
    </x:row>
    <x:row r="297">
      <x:c r="A297" s="16" t="n">
        <x:v>297</x:v>
      </x:c>
      <x:c r="B297" s="21" t="str">
        <x:v>PS.000.535</x:v>
      </x:c>
      <x:c r="C297" s="57" t="str">
        <x:v>Perfil RollP.Max Cx Sust. Bronze Uniluxbz1003 TMR4187-4M (6e7m) UX-0101 unico (1kg.=0,597ml)</x:v>
      </x:c>
      <x:c r="D297" s="21" t="str">
        <x:v>Bronze</x:v>
      </x:c>
      <x:c r="E297" s="24" t="n">
        <x:v>42.94</x:v>
      </x:c>
      <x:c r="F297" s="34" t="n">
        <x:v>0.597</x:v>
      </x:c>
      <x:c r="G297" s="21" t="str">
        <x:v>descricao</x:v>
      </x:c>
      <x:c r="H297" s="35" t="n">
        <x:f>IFERROR(E297/F297,"")</x:f>
        <x:v>71.92629815745394</x:v>
      </x:c>
      <x:c r="I297" s="17" t="str">
        <x:v>Precificado</x:v>
      </x:c>
    </x:row>
    <x:row r="298">
      <x:c r="A298" s="16" t="n">
        <x:v>298</x:v>
      </x:c>
      <x:c r="B298" s="21" t="str">
        <x:v>PS.000.476</x:v>
      </x:c>
      <x:c r="C298" s="57" t="str">
        <x:v>Perfil RollP.Max Cx Sust. Bronze Uniluxbz1003 TMR4187-6M (4e7m) UX-0101 unico  (1kg.=0,597ml)tolq.a.ss apenas 4 e 7</x:v>
      </x:c>
      <x:c r="D298" s="21" t="str">
        <x:v>Bronze</x:v>
      </x:c>
      <x:c r="E298" s="24" t="n">
        <x:v>42.94</x:v>
      </x:c>
      <x:c r="F298" s="34" t="n">
        <x:v>0.597</x:v>
      </x:c>
      <x:c r="G298" s="21" t="str">
        <x:v>descricao</x:v>
      </x:c>
      <x:c r="H298" s="35" t="n">
        <x:f>IFERROR(E298/F298,"")</x:f>
        <x:v>71.92629815745394</x:v>
      </x:c>
      <x:c r="I298" s="17" t="str">
        <x:v>Precificado</x:v>
      </x:c>
    </x:row>
    <x:row r="299">
      <x:c r="A299" s="16" t="n">
        <x:v>299</x:v>
      </x:c>
      <x:c r="B299" s="21" t="str">
        <x:v>PS.000.480</x:v>
      </x:c>
      <x:c r="C299" s="57" t="str">
        <x:v>Perfil RollP.Max Cx Sust. Bronze Uniluxbz1003 TMR4187-7M (4e6m) UX-0101 unico (B) (1kg.=0,587ml)</x:v>
      </x:c>
      <x:c r="D299" s="21" t="str">
        <x:v>Bronze</x:v>
      </x:c>
      <x:c r="E299" s="24" t="n">
        <x:v>42.94</x:v>
      </x:c>
      <x:c r="F299" s="34" t="n">
        <x:v>0.587</x:v>
      </x:c>
      <x:c r="G299" s="21" t="str">
        <x:v>descricao</x:v>
      </x:c>
      <x:c r="H299" s="35" t="n">
        <x:f>IFERROR(E299/F299,"")</x:f>
        <x:v>73.15161839863714</x:v>
      </x:c>
      <x:c r="I299" s="17" t="str">
        <x:v>Precificado</x:v>
      </x:c>
    </x:row>
    <x:row r="300">
      <x:c r="A300" s="16" t="n">
        <x:v>300</x:v>
      </x:c>
      <x:c r="B300" s="21" t="str">
        <x:v>PS.000.536</x:v>
      </x:c>
      <x:c r="C300" s="57" t="str">
        <x:v>Perfil RollP.Max Cx Sust. Preto TMR4187-4M (6e7m) UX-0101 (1kg.=0,597m)</x:v>
      </x:c>
      <x:c r="D300" s="21" t="str">
        <x:v>Preto</x:v>
      </x:c>
      <x:c r="E300" s="24" t="n">
        <x:v>39.74</x:v>
      </x:c>
      <x:c r="F300" s="34" t="n">
        <x:v>0.597</x:v>
      </x:c>
      <x:c r="G300" s="21" t="str">
        <x:v>descricao</x:v>
      </x:c>
      <x:c r="H300" s="35" t="n">
        <x:f>IFERROR(E300/F300,"")</x:f>
        <x:v>66.56616415410386</x:v>
      </x:c>
      <x:c r="I300" s="17" t="str">
        <x:v>Precificado</x:v>
      </x:c>
    </x:row>
    <x:row r="301">
      <x:c r="A301" s="16" t="n">
        <x:v>301</x:v>
      </x:c>
      <x:c r="B301" s="21" t="str">
        <x:v>PS.000.477</x:v>
      </x:c>
      <x:c r="C301" s="57" t="str">
        <x:v>Perfil RollP.Max Cx Sust. Preto TMR4187-6M (4e7m) UX-0101 (B) (1kg.=0,597m)a.ss  4 e 7</x:v>
      </x:c>
      <x:c r="D301" s="21" t="str">
        <x:v>Preto</x:v>
      </x:c>
      <x:c r="E301" s="24" t="n">
        <x:v>39.74</x:v>
      </x:c>
      <x:c r="F301" s="34" t="n">
        <x:v>0.597</x:v>
      </x:c>
      <x:c r="G301" s="21" t="str">
        <x:v>descricao</x:v>
      </x:c>
      <x:c r="H301" s="35" t="n">
        <x:f>IFERROR(E301/F301,"")</x:f>
        <x:v>66.56616415410386</x:v>
      </x:c>
      <x:c r="I301" s="17" t="str">
        <x:v>Precificado</x:v>
      </x:c>
    </x:row>
    <x:row r="302">
      <x:c r="A302" s="16" t="n">
        <x:v>302</x:v>
      </x:c>
      <x:c r="B302" s="21" t="str">
        <x:v>PS.000.481</x:v>
      </x:c>
      <x:c r="C302" s="57" t="str">
        <x:v>Perfil RollP.Max Cx Sust. Preto TMR4187-7M (4e6m) UX-0101 (B) (1kg.=0,587m)</x:v>
      </x:c>
      <x:c r="D302" s="21" t="str">
        <x:v>Preto</x:v>
      </x:c>
      <x:c r="E302" s="24" t="n">
        <x:v>39.74</x:v>
      </x:c>
      <x:c r="F302" s="34" t="n">
        <x:v>0.587</x:v>
      </x:c>
      <x:c r="G302" s="21" t="str">
        <x:v>descricao</x:v>
      </x:c>
      <x:c r="H302" s="35" t="n">
        <x:f>IFERROR(E302/F302,"")</x:f>
        <x:v>67.70017035775129</x:v>
      </x:c>
      <x:c r="I302" s="17" t="str">
        <x:v>Precificado</x:v>
      </x:c>
    </x:row>
    <x:row r="303">
      <x:c r="A303" s="16" t="n">
        <x:v>303</x:v>
      </x:c>
      <x:c r="B303" s="21" t="str">
        <x:v>PS.000.459</x:v>
      </x:c>
      <x:c r="C303" s="57" t="str">
        <x:v>Perfil RollP.Ultra Cx .Pintar TMR4149-6M (e7m) UX-0002 {1kg.=0,592m} 11/23ml}a</x:v>
      </x:c>
      <x:c r="D303" s="21" t="str">
        <x:v>Alumínio cru</x:v>
      </x:c>
      <x:c r="E303" s="24" t="n">
        <x:v>34.74</x:v>
      </x:c>
      <x:c r="F303" s="34" t="n">
        <x:v>0.592</x:v>
      </x:c>
      <x:c r="G303" s="21" t="str">
        <x:v>descricao</x:v>
      </x:c>
      <x:c r="H303" s="35" t="n">
        <x:f>IFERROR(E303/F303,"")</x:f>
        <x:v>58.68243243243244</x:v>
      </x:c>
      <x:c r="I303" s="17" t="str">
        <x:v>Precificado</x:v>
      </x:c>
    </x:row>
    <x:row r="304">
      <x:c r="A304" s="16" t="n">
        <x:v>304</x:v>
      </x:c>
      <x:c r="B304" s="21" t="str">
        <x:v>PS.000.427</x:v>
      </x:c>
      <x:c r="C304" s="57" t="str">
        <x:v>Perfil RollP.Ultra Cx .Pintar TMR4149-7M ( e6m) UX-0002 {1kg.=0,587m}a</x:v>
      </x:c>
      <x:c r="D304" s="21" t="str">
        <x:v>Alumínio cru</x:v>
      </x:c>
      <x:c r="E304" s="24" t="n">
        <x:v>34.74</x:v>
      </x:c>
      <x:c r="F304" s="34" t="n">
        <x:v>0.587</x:v>
      </x:c>
      <x:c r="G304" s="21" t="str">
        <x:v>descricao</x:v>
      </x:c>
      <x:c r="H304" s="35" t="n">
        <x:f>IFERROR(E304/F304,"")</x:f>
        <x:v>59.18228279386713</x:v>
      </x:c>
      <x:c r="I304" s="17" t="str">
        <x:v>Precificado</x:v>
      </x:c>
    </x:row>
    <x:row r="305">
      <x:c r="A305" s="16" t="n">
        <x:v>305</x:v>
      </x:c>
      <x:c r="B305" s="21" t="str">
        <x:v>PS.000.458</x:v>
      </x:c>
      <x:c r="C305" s="57" t="str">
        <x:v>Perfil RollP.Ultra Cx Branco TMR4149-6M (e7m) UX-0002 (A) 1kg.=0,58m 11/23</x:v>
      </x:c>
      <x:c r="D305" s="21" t="str">
        <x:v>Branco</x:v>
      </x:c>
      <x:c r="E305" s="24" t="n">
        <x:v>40.57</x:v>
      </x:c>
      <x:c r="F305" s="34" t="n">
        <x:v>0.58</x:v>
      </x:c>
      <x:c r="G305" s="21" t="str">
        <x:v>descricao</x:v>
      </x:c>
      <x:c r="H305" s="35" t="n">
        <x:f>IFERROR(E305/F305,"")</x:f>
        <x:v>69.94827586206897</x:v>
      </x:c>
      <x:c r="I305" s="17" t="str">
        <x:v>Precificado</x:v>
      </x:c>
    </x:row>
    <x:row r="306">
      <x:c r="A306" s="16" t="n">
        <x:v>306</x:v>
      </x:c>
      <x:c r="B306" s="21" t="str">
        <x:v>PS.000.424</x:v>
      </x:c>
      <x:c r="C306" s="57" t="str">
        <x:v>Perfil RollP.Ultra Cx Branco TMR4149-7M (e6m) UX-0002 (B) 1kg.=0,58m</x:v>
      </x:c>
      <x:c r="D306" s="21" t="str">
        <x:v>Branco</x:v>
      </x:c>
      <x:c r="E306" s="24" t="n">
        <x:v>40.57</x:v>
      </x:c>
      <x:c r="F306" s="34" t="n">
        <x:v>0.58</x:v>
      </x:c>
      <x:c r="G306" s="21" t="str">
        <x:v>descricao</x:v>
      </x:c>
      <x:c r="H306" s="35" t="n">
        <x:f>IFERROR(E306/F306,"")</x:f>
        <x:v>69.94827586206897</x:v>
      </x:c>
      <x:c r="I306" s="17" t="str">
        <x:v>Precificado</x:v>
      </x:c>
    </x:row>
    <x:row r="307">
      <x:c r="A307" s="16" t="n">
        <x:v>307</x:v>
      </x:c>
      <x:c r="B307" s="21" t="str">
        <x:v>PS.000.547</x:v>
      </x:c>
      <x:c r="C307" s="57" t="str">
        <x:v>Perfil RollP.Ultra Cx Bronze Uniluxbz1003 TMR4149-6M (e7m) UX-0002 (B) Unico 1kg.=0,58</x:v>
      </x:c>
      <x:c r="D307" s="21" t="str">
        <x:v>Bronze</x:v>
      </x:c>
      <x:c r="E307" s="24" t="n">
        <x:v>42.94</x:v>
      </x:c>
      <x:c r="F307" s="34" t="n">
        <x:v>0.58</x:v>
      </x:c>
      <x:c r="G307" s="21" t="str">
        <x:v>descricao</x:v>
      </x:c>
      <x:c r="H307" s="35" t="n">
        <x:f>IFERROR(E307/F307,"")</x:f>
        <x:v>74.0344827586207</x:v>
      </x:c>
      <x:c r="I307" s="17" t="str">
        <x:v>Precificado</x:v>
      </x:c>
    </x:row>
    <x:row r="308">
      <x:c r="A308" s="16" t="n">
        <x:v>308</x:v>
      </x:c>
      <x:c r="B308" s="21" t="str">
        <x:v>PS.000.546</x:v>
      </x:c>
      <x:c r="C308" s="57" t="str">
        <x:v>Perfil RollP.Ultra Cx Bronze Uniluxbz1003 TMR4149-7M (e6m) UX-0002 Unico 1kg.=0,58</x:v>
      </x:c>
      <x:c r="D308" s="21" t="str">
        <x:v>Bronze</x:v>
      </x:c>
      <x:c r="E308" s="24" t="n">
        <x:v>42.94</x:v>
      </x:c>
      <x:c r="F308" s="34" t="n">
        <x:v>0.58</x:v>
      </x:c>
      <x:c r="G308" s="21" t="str">
        <x:v>descricao</x:v>
      </x:c>
      <x:c r="H308" s="35" t="n">
        <x:f>IFERROR(E308/F308,"")</x:f>
        <x:v>74.0344827586207</x:v>
      </x:c>
      <x:c r="I308" s="17" t="str">
        <x:v>Precificado</x:v>
      </x:c>
    </x:row>
    <x:row r="309">
      <x:c r="A309" s="16" t="n">
        <x:v>309</x:v>
      </x:c>
      <x:c r="B309" s="21" t="str">
        <x:v>PS.000.457</x:v>
      </x:c>
      <x:c r="C309" s="57" t="str">
        <x:v>Perfil RollP.Ultra Cx Preto TMR4149-6M (e7m) UX-0002 (A) 1kg.=0,58m</x:v>
      </x:c>
      <x:c r="D309" s="21" t="str">
        <x:v>Preto</x:v>
      </x:c>
      <x:c r="E309" s="24" t="n">
        <x:v>39.74</x:v>
      </x:c>
      <x:c r="F309" s="34" t="n">
        <x:v>0.58</x:v>
      </x:c>
      <x:c r="G309" s="21" t="str">
        <x:v>descricao</x:v>
      </x:c>
      <x:c r="H309" s="35" t="n">
        <x:f>IFERROR(E309/F309,"")</x:f>
        <x:v>68.51724137931035</x:v>
      </x:c>
      <x:c r="I309" s="17" t="str">
        <x:v>Precificado</x:v>
      </x:c>
    </x:row>
    <x:row r="310">
      <x:c r="A310" s="16" t="n">
        <x:v>310</x:v>
      </x:c>
      <x:c r="B310" s="21" t="str">
        <x:v>PS.000.426</x:v>
      </x:c>
      <x:c r="C310" s="57" t="str">
        <x:v>Perfil RollP.Ultra Cx Preto TMR4149-7M (e6m) UX-0002 (B) 1kg.=0,58m</x:v>
      </x:c>
      <x:c r="D310" s="21" t="str">
        <x:v>Preto</x:v>
      </x:c>
      <x:c r="E310" s="24" t="n">
        <x:v>39.74</x:v>
      </x:c>
      <x:c r="F310" s="34" t="n">
        <x:v>0.58</x:v>
      </x:c>
      <x:c r="G310" s="21" t="str">
        <x:v>descricao</x:v>
      </x:c>
      <x:c r="H310" s="35" t="n">
        <x:f>IFERROR(E310/F310,"")</x:f>
        <x:v>68.51724137931035</x:v>
      </x:c>
      <x:c r="I310" s="17" t="str">
        <x:v>Precificado</x:v>
      </x:c>
    </x:row>
    <x:row r="311">
      <x:c r="A311" s="16" t="n">
        <x:v>311</x:v>
      </x:c>
      <x:c r="B311" s="21" t="str">
        <x:v>PS.000.460</x:v>
      </x:c>
      <x:c r="C311" s="57" t="str">
        <x:v>Perfil RollP.Ultra Cx Sust. .Pintar TMR4148-6M (e7m) UX-0001 1kg.=0,78m ml}a</x:v>
      </x:c>
      <x:c r="D311" s="21" t="str">
        <x:v>Alumínio cru</x:v>
      </x:c>
      <x:c r="E311" s="24" t="n">
        <x:v>34.74</x:v>
      </x:c>
      <x:c r="F311" s="34" t="n">
        <x:v>0.78</x:v>
      </x:c>
      <x:c r="G311" s="21" t="str">
        <x:v>descricao</x:v>
      </x:c>
      <x:c r="H311" s="35" t="n">
        <x:f>IFERROR(E311/F311,"")</x:f>
        <x:v>44.53846153846154</x:v>
      </x:c>
      <x:c r="I311" s="17" t="str">
        <x:v>Precificado</x:v>
      </x:c>
    </x:row>
    <x:row r="312">
      <x:c r="A312" s="16" t="n">
        <x:v>312</x:v>
      </x:c>
      <x:c r="B312" s="21" t="str">
        <x:v>PS.000.422</x:v>
      </x:c>
      <x:c r="C312" s="57" t="str">
        <x:v>Perfil RollP.Ultra Cx Sust. .Pintar TMR4148-7M (e6m) UX-0001 1kg.=0,78m ml}a</x:v>
      </x:c>
      <x:c r="D312" s="21" t="str">
        <x:v>Alumínio cru</x:v>
      </x:c>
      <x:c r="E312" s="24" t="n">
        <x:v>34.74</x:v>
      </x:c>
      <x:c r="F312" s="34" t="n">
        <x:v>0.78</x:v>
      </x:c>
      <x:c r="G312" s="21" t="str">
        <x:v>descricao</x:v>
      </x:c>
      <x:c r="H312" s="35" t="n">
        <x:f>IFERROR(E312/F312,"")</x:f>
        <x:v>44.53846153846154</x:v>
      </x:c>
      <x:c r="I312" s="17" t="str">
        <x:v>Precificado</x:v>
      </x:c>
    </x:row>
    <x:row r="313">
      <x:c r="A313" s="16" t="n">
        <x:v>313</x:v>
      </x:c>
      <x:c r="B313" s="21" t="str">
        <x:v>PS.000.453</x:v>
      </x:c>
      <x:c r="C313" s="57" t="str">
        <x:v>Perfil RollP.Ultra Cx Sust. Branco TMR4148-6M (e7m) UX-0001 (A) 1kg.=0,75m</x:v>
      </x:c>
      <x:c r="D313" s="21" t="str">
        <x:v>Branco</x:v>
      </x:c>
      <x:c r="E313" s="24" t="n">
        <x:v>40.57</x:v>
      </x:c>
      <x:c r="F313" s="34" t="n">
        <x:v>0.75</x:v>
      </x:c>
      <x:c r="G313" s="21" t="str">
        <x:v>descricao</x:v>
      </x:c>
      <x:c r="H313" s="35" t="n">
        <x:f>IFERROR(E313/F313,"")</x:f>
        <x:v>54.093333333333334</x:v>
      </x:c>
      <x:c r="I313" s="17" t="str">
        <x:v>Precificado</x:v>
      </x:c>
    </x:row>
    <x:row r="314">
      <x:c r="A314" s="16" t="n">
        <x:v>314</x:v>
      </x:c>
      <x:c r="B314" s="21" t="str">
        <x:v>PS.000.420</x:v>
      </x:c>
      <x:c r="C314" s="57" t="str">
        <x:v>Perfil RollP.Ultra Cx Sust. Branco TMR4148-7M (e6m) UX-0001 (B) 1kg.=0,75m</x:v>
      </x:c>
      <x:c r="D314" s="21" t="str">
        <x:v>Branco</x:v>
      </x:c>
      <x:c r="E314" s="24" t="n">
        <x:v>40.57</x:v>
      </x:c>
      <x:c r="F314" s="34" t="n">
        <x:v>0.75</x:v>
      </x:c>
      <x:c r="G314" s="21" t="str">
        <x:v>descricao</x:v>
      </x:c>
      <x:c r="H314" s="35" t="n">
        <x:f>IFERROR(E314/F314,"")</x:f>
        <x:v>54.093333333333334</x:v>
      </x:c>
      <x:c r="I314" s="17" t="str">
        <x:v>Precificado</x:v>
      </x:c>
    </x:row>
    <x:row r="315">
      <x:c r="A315" s="16" t="n">
        <x:v>315</x:v>
      </x:c>
      <x:c r="B315" s="21" t="str">
        <x:v>PS.000.545</x:v>
      </x:c>
      <x:c r="C315" s="57" t="str">
        <x:v>Perfil RollP.Ultra Cx Sust. Bronze Uniluxbz1003 TMR4148-6M (e7m) UX-0001 unico 1kg.=0,75</x:v>
      </x:c>
      <x:c r="D315" s="21" t="str">
        <x:v>Bronze</x:v>
      </x:c>
      <x:c r="E315" s="24" t="n">
        <x:v>42.94</x:v>
      </x:c>
      <x:c r="F315" s="34" t="n">
        <x:v>0.75</x:v>
      </x:c>
      <x:c r="G315" s="21" t="str">
        <x:v>descricao</x:v>
      </x:c>
      <x:c r="H315" s="35" t="n">
        <x:f>IFERROR(E315/F315,"")</x:f>
        <x:v>57.25333333333333</x:v>
      </x:c>
      <x:c r="I315" s="17" t="str">
        <x:v>Precificado</x:v>
      </x:c>
    </x:row>
    <x:row r="316">
      <x:c r="A316" s="16" t="n">
        <x:v>316</x:v>
      </x:c>
      <x:c r="B316" s="21" t="str">
        <x:v>PS.000.544</x:v>
      </x:c>
      <x:c r="C316" s="57" t="str">
        <x:v>Perfil RollP.Ultra Cx Sust. Bronze Uniluxbz1003 TMR4148-7M (e6m) UX-0001 unico 1kg.=0,75</x:v>
      </x:c>
      <x:c r="D316" s="21" t="str">
        <x:v>Bronze</x:v>
      </x:c>
      <x:c r="E316" s="24" t="n">
        <x:v>42.94</x:v>
      </x:c>
      <x:c r="F316" s="34" t="n">
        <x:v>0.75</x:v>
      </x:c>
      <x:c r="G316" s="21" t="str">
        <x:v>descricao</x:v>
      </x:c>
      <x:c r="H316" s="35" t="n">
        <x:f>IFERROR(E316/F316,"")</x:f>
        <x:v>57.25333333333333</x:v>
      </x:c>
      <x:c r="I316" s="17" t="str">
        <x:v>Precificado</x:v>
      </x:c>
    </x:row>
    <x:row r="317">
      <x:c r="A317" s="16" t="n">
        <x:v>317</x:v>
      </x:c>
      <x:c r="B317" s="21" t="str">
        <x:v>PS.000.455</x:v>
      </x:c>
      <x:c r="C317" s="57" t="str">
        <x:v>Perfil RollP.Ultra Cx Sust. Preto TMR4148-6M (e7m) UX-0001 (A) 1kg.=0,75m</x:v>
      </x:c>
      <x:c r="D317" s="21" t="str">
        <x:v>Preto</x:v>
      </x:c>
      <x:c r="E317" s="24" t="n">
        <x:v>39.74</x:v>
      </x:c>
      <x:c r="F317" s="34" t="n">
        <x:v>0.75</x:v>
      </x:c>
      <x:c r="G317" s="21" t="str">
        <x:v>descricao</x:v>
      </x:c>
      <x:c r="H317" s="35" t="n">
        <x:f>IFERROR(E317/F317,"")</x:f>
        <x:v>52.98666666666667</x:v>
      </x:c>
      <x:c r="I317" s="17" t="str">
        <x:v>Precificado</x:v>
      </x:c>
    </x:row>
    <x:row r="318">
      <x:c r="A318" s="16" t="n">
        <x:v>318</x:v>
      </x:c>
      <x:c r="B318" s="21" t="str">
        <x:v>PS.000.423</x:v>
      </x:c>
      <x:c r="C318" s="57" t="str">
        <x:v>Perfil RollP.Ultra Cx Sust. Preto TMR4148-7M (e6m) UX-0001 (B) 1kg.=0,75m</x:v>
      </x:c>
      <x:c r="D318" s="21" t="str">
        <x:v>Preto</x:v>
      </x:c>
      <x:c r="E318" s="24" t="n">
        <x:v>39.74</x:v>
      </x:c>
      <x:c r="F318" s="34" t="n">
        <x:v>0.75</x:v>
      </x:c>
      <x:c r="G318" s="21" t="str">
        <x:v>descricao</x:v>
      </x:c>
      <x:c r="H318" s="35" t="n">
        <x:f>IFERROR(E318/F318,"")</x:f>
        <x:v>52.98666666666667</x:v>
      </x:c>
      <x:c r="I318" s="17" t="str">
        <x:v>Precificado</x:v>
      </x:c>
    </x:row>
    <x:row r="319">
      <x:c r="A319" s="16" t="n">
        <x:v>319</x:v>
      </x:c>
      <x:c r="B319" s="21" t="str">
        <x:v>PE.000.025</x:v>
      </x:c>
      <x:c r="C319" s="57" t="str">
        <x:v>Perfil RollPMU Arremate Guia AirZip 6.0x4.3cm .Pintar ESAF3991-4M (e7m) ml}a ref.125 {1kg.=2,198ml}</x:v>
      </x:c>
      <x:c r="D319" s="21" t="str">
        <x:v>Alumínio cru</x:v>
      </x:c>
      <x:c r="E319" s="24" t="n">
        <x:v>34.74</x:v>
      </x:c>
      <x:c r="F319" s="34" t="n">
        <x:v>2.198</x:v>
      </x:c>
      <x:c r="G319" s="21" t="str">
        <x:v>descricao</x:v>
      </x:c>
      <x:c r="H319" s="35" t="n">
        <x:f>IFERROR(E319/F319,"")</x:f>
        <x:v>15.805277525022749</x:v>
      </x:c>
      <x:c r="I319" s="17" t="str">
        <x:v>Precificado</x:v>
      </x:c>
    </x:row>
    <x:row r="320">
      <x:c r="A320" s="16" t="n">
        <x:v>320</x:v>
      </x:c>
      <x:c r="B320" s="21" t="str">
        <x:v>PE.000.026</x:v>
      </x:c>
      <x:c r="C320" s="57" t="str">
        <x:v>Perfil RollPMU Arremate Guia AirZip 6.0x4.3cm .Pintar ESAF3991-7M (4e7) ml}a ref.125 {1kg.=2,198ml}</x:v>
      </x:c>
      <x:c r="D320" s="21" t="str">
        <x:v>Alumínio cru</x:v>
      </x:c>
      <x:c r="E320" s="24" t="n">
        <x:v>34.74</x:v>
      </x:c>
      <x:c r="F320" s="34" t="n">
        <x:v>2.198</x:v>
      </x:c>
      <x:c r="G320" s="21" t="str">
        <x:v>descricao</x:v>
      </x:c>
      <x:c r="H320" s="35" t="n">
        <x:f>IFERROR(E320/F320,"")</x:f>
        <x:v>15.805277525022749</x:v>
      </x:c>
      <x:c r="I320" s="17" t="str">
        <x:v>Precificado</x:v>
      </x:c>
    </x:row>
    <x:row r="321">
      <x:c r="A321" s="16" t="n">
        <x:v>321</x:v>
      </x:c>
      <x:c r="B321" s="21" t="str">
        <x:v>PE.000.027</x:v>
      </x:c>
      <x:c r="C321" s="57" t="str">
        <x:v>Perfil RollPMU Arremate Guia AirZip 6.0x4.3cm Branco ESAF3991-4M (4e7)  ref.125 {1kg.=2,198ml}</x:v>
      </x:c>
      <x:c r="D321" s="21" t="str">
        <x:v>Branco</x:v>
      </x:c>
      <x:c r="E321" s="24" t="n">
        <x:v>40.57</x:v>
      </x:c>
      <x:c r="F321" s="34" t="n">
        <x:v>2.198</x:v>
      </x:c>
      <x:c r="G321" s="21" t="str">
        <x:v>descricao</x:v>
      </x:c>
      <x:c r="H321" s="35" t="n">
        <x:f>IFERROR(E321/F321,"")</x:f>
        <x:v>18.45768880800728</x:v>
      </x:c>
      <x:c r="I321" s="17" t="str">
        <x:v>Precificado</x:v>
      </x:c>
    </x:row>
    <x:row r="322">
      <x:c r="A322" s="16" t="n">
        <x:v>322</x:v>
      </x:c>
      <x:c r="B322" s="21" t="str">
        <x:v>PE.000.028</x:v>
      </x:c>
      <x:c r="C322" s="57" t="str">
        <x:v>Perfil RollPMU Arremate Guia AirZip 6.0x4.3cm Branco ESAF3991-7M (4e7) (B) ref.125 {1kg.=2,198ml}</x:v>
      </x:c>
      <x:c r="D322" s="21" t="str">
        <x:v>Branco</x:v>
      </x:c>
      <x:c r="E322" s="24" t="n">
        <x:v>40.57</x:v>
      </x:c>
      <x:c r="F322" s="34" t="n">
        <x:v>2.198</x:v>
      </x:c>
      <x:c r="G322" s="21" t="str">
        <x:v>descricao</x:v>
      </x:c>
      <x:c r="H322" s="35" t="n">
        <x:f>IFERROR(E322/F322,"")</x:f>
        <x:v>18.45768880800728</x:v>
      </x:c>
      <x:c r="I322" s="17" t="str">
        <x:v>Precificado</x:v>
      </x:c>
    </x:row>
    <x:row r="323">
      <x:c r="A323" s="16" t="n">
        <x:v>323</x:v>
      </x:c>
      <x:c r="B323" s="21" t="str">
        <x:v>PE.000.031</x:v>
      </x:c>
      <x:c r="C323" s="57" t="str">
        <x:v>Perfil RollPMU Arremate Guia AirZip 6.0x4.3cm Bronze Uniluxbz1003 ESAF3991-4M (e7m) Unico ref.125 {1kg.=2,198ml}</x:v>
      </x:c>
      <x:c r="D323" s="21" t="str">
        <x:v>Bronze</x:v>
      </x:c>
      <x:c r="E323" s="24" t="n">
        <x:v>42.94</x:v>
      </x:c>
      <x:c r="F323" s="34" t="n">
        <x:v>2.198</x:v>
      </x:c>
      <x:c r="G323" s="21" t="str">
        <x:v>descricao</x:v>
      </x:c>
      <x:c r="H323" s="35" t="n">
        <x:f>IFERROR(E323/F323,"")</x:f>
        <x:v>19.535941765241127</x:v>
      </x:c>
      <x:c r="I323" s="17" t="str">
        <x:v>Precificado</x:v>
      </x:c>
    </x:row>
    <x:row r="324">
      <x:c r="A324" s="16" t="n">
        <x:v>324</x:v>
      </x:c>
      <x:c r="B324" s="21" t="str">
        <x:v>PE.000.032</x:v>
      </x:c>
      <x:c r="C324" s="57" t="str">
        <x:v>Perfil RollPMU Arremate Guia AirZip 6.0x4.3cm Bronze Uniluxbz1003 ESAF3991-7M (e4m) Unico ref.125  {1kg.=2,198ml}</x:v>
      </x:c>
      <x:c r="D324" s="21" t="str">
        <x:v>Bronze</x:v>
      </x:c>
      <x:c r="E324" s="24" t="n">
        <x:v>42.94</x:v>
      </x:c>
      <x:c r="F324" s="34" t="n">
        <x:v>2.198</x:v>
      </x:c>
      <x:c r="G324" s="21" t="str">
        <x:v>descricao</x:v>
      </x:c>
      <x:c r="H324" s="35" t="n">
        <x:f>IFERROR(E324/F324,"")</x:f>
        <x:v>19.535941765241127</x:v>
      </x:c>
      <x:c r="I324" s="17" t="str">
        <x:v>Precificado</x:v>
      </x:c>
    </x:row>
    <x:row r="325">
      <x:c r="A325" s="16" t="n">
        <x:v>325</x:v>
      </x:c>
      <x:c r="B325" s="21" t="str">
        <x:v>PE.000.029</x:v>
      </x:c>
      <x:c r="C325" s="57" t="str">
        <x:v>Perfil RollPMU Arremate Guia AirZip 6.0x4.3cm Preto ESAF3991-4M (4e7) (B) ref.125 {1kg.=2,198ml}</x:v>
      </x:c>
      <x:c r="D325" s="21" t="str">
        <x:v>Preto</x:v>
      </x:c>
      <x:c r="E325" s="24" t="n">
        <x:v>39.74</x:v>
      </x:c>
      <x:c r="F325" s="34" t="n">
        <x:v>2.198</x:v>
      </x:c>
      <x:c r="G325" s="21" t="str">
        <x:v>descricao</x:v>
      </x:c>
      <x:c r="H325" s="35" t="n">
        <x:f>IFERROR(E325/F325,"")</x:f>
        <x:v>18.08007279344859</x:v>
      </x:c>
      <x:c r="I325" s="17" t="str">
        <x:v>Precificado</x:v>
      </x:c>
    </x:row>
    <x:row r="326">
      <x:c r="A326" s="16" t="n">
        <x:v>326</x:v>
      </x:c>
      <x:c r="B326" s="21" t="str">
        <x:v>PE.000.030</x:v>
      </x:c>
      <x:c r="C326" s="57" t="str">
        <x:v>Perfil RollPMU Arremate Guia AirZip 6.0x4.3cm Preto ESAF3991-7M (4e7) (B)ref.125  {1kg.=2,198ml}</x:v>
      </x:c>
      <x:c r="D326" s="21" t="str">
        <x:v>Preto</x:v>
      </x:c>
      <x:c r="E326" s="24" t="n">
        <x:v>39.74</x:v>
      </x:c>
      <x:c r="F326" s="34" t="n">
        <x:v>2.198</x:v>
      </x:c>
      <x:c r="G326" s="21" t="str">
        <x:v>descricao</x:v>
      </x:c>
      <x:c r="H326" s="35" t="n">
        <x:f>IFERROR(E326/F326,"")</x:f>
        <x:v>18.08007279344859</x:v>
      </x:c>
      <x:c r="I326" s="17" t="str">
        <x:v>Precificado</x:v>
      </x:c>
    </x:row>
    <x:row r="327">
      <x:c r="A327" s="16" t="n">
        <x:v>327</x:v>
      </x:c>
      <x:c r="B327" s="21" t="str">
        <x:v>PE.000.009</x:v>
      </x:c>
      <x:c r="C327" s="57" t="str">
        <x:v>Perfil RollPMU Barra inferior AirZip 6.0x3cm .Pintar Unilux ES-3990-4m (e7m) ref.125  {1kg.=1,017ml}</x:v>
      </x:c>
      <x:c r="D327" s="21" t="str">
        <x:v>Alumínio cru</x:v>
      </x:c>
      <x:c r="E327" s="24" t="n">
        <x:v>34.74</x:v>
      </x:c>
      <x:c r="F327" s="34" t="n">
        <x:v>1.017</x:v>
      </x:c>
      <x:c r="G327" s="21" t="str">
        <x:v>descricao</x:v>
      </x:c>
      <x:c r="H327" s="35" t="n">
        <x:f>IFERROR(E327/F327,"")</x:f>
        <x:v>34.15929203539824</x:v>
      </x:c>
      <x:c r="I327" s="17" t="str">
        <x:v>Precificado</x:v>
      </x:c>
    </x:row>
    <x:row r="328">
      <x:c r="A328" s="16" t="n">
        <x:v>328</x:v>
      </x:c>
      <x:c r="B328" s="21" t="str">
        <x:v>PE.000.010</x:v>
      </x:c>
      <x:c r="C328" s="57" t="str">
        <x:v>Perfil RollPMU Barra inferior AirZip 6.0x3cm .Pintar Unilux ES-3990-7m (e4m) ref.125  {1kg.=1,017ml}</x:v>
      </x:c>
      <x:c r="D328" s="21" t="str">
        <x:v>Alumínio cru</x:v>
      </x:c>
      <x:c r="E328" s="24" t="n">
        <x:v>34.74</x:v>
      </x:c>
      <x:c r="F328" s="34" t="n">
        <x:v>1.017</x:v>
      </x:c>
      <x:c r="G328" s="21" t="str">
        <x:v>descricao</x:v>
      </x:c>
      <x:c r="H328" s="35" t="n">
        <x:f>IFERROR(E328/F328,"")</x:f>
        <x:v>34.15929203539824</x:v>
      </x:c>
      <x:c r="I328" s="17" t="str">
        <x:v>Precificado</x:v>
      </x:c>
    </x:row>
    <x:row r="329">
      <x:c r="A329" s="16" t="n">
        <x:v>329</x:v>
      </x:c>
      <x:c r="B329" s="21" t="str">
        <x:v>PE.000.011</x:v>
      </x:c>
      <x:c r="C329" s="57" t="str">
        <x:v>Perfil RollPMU Barra inferior AirZip 6.0x3cm branco Unilux ESAF-3990-4m (e7m) (B)ref.125  {1kg.=1,017ml}</x:v>
      </x:c>
      <x:c r="D329" s="21" t="str">
        <x:v>Branco</x:v>
      </x:c>
      <x:c r="E329" s="24" t="n">
        <x:v>40.57</x:v>
      </x:c>
      <x:c r="F329" s="34" t="n">
        <x:v>1.017</x:v>
      </x:c>
      <x:c r="G329" s="21" t="str">
        <x:v>descricao</x:v>
      </x:c>
      <x:c r="H329" s="35" t="n">
        <x:f>IFERROR(E329/F329,"")</x:f>
        <x:v>39.89183874139627</x:v>
      </x:c>
      <x:c r="I329" s="17" t="str">
        <x:v>Precificado</x:v>
      </x:c>
    </x:row>
    <x:row r="330">
      <x:c r="A330" s="16" t="n">
        <x:v>330</x:v>
      </x:c>
      <x:c r="B330" s="21" t="str">
        <x:v>PE.000.012</x:v>
      </x:c>
      <x:c r="C330" s="57" t="str">
        <x:v>Perfil RollPMU Barra inferior AirZip 6.0x3cm branco Unilux ESAF-3990-7m (e4m)  (A) ref.125 {1kg.=1,017ml}</x:v>
      </x:c>
      <x:c r="D330" s="21" t="str">
        <x:v>Branco</x:v>
      </x:c>
      <x:c r="E330" s="24" t="n">
        <x:v>40.57</x:v>
      </x:c>
      <x:c r="F330" s="34" t="n">
        <x:v>1.017</x:v>
      </x:c>
      <x:c r="G330" s="21" t="str">
        <x:v>descricao</x:v>
      </x:c>
      <x:c r="H330" s="35" t="n">
        <x:f>IFERROR(E330/F330,"")</x:f>
        <x:v>39.89183874139627</x:v>
      </x:c>
      <x:c r="I330" s="17" t="str">
        <x:v>Precificado</x:v>
      </x:c>
    </x:row>
    <x:row r="331">
      <x:c r="A331" s="16" t="n">
        <x:v>331</x:v>
      </x:c>
      <x:c r="B331" s="21" t="str">
        <x:v>PE.000.015</x:v>
      </x:c>
      <x:c r="C331" s="57" t="str">
        <x:v>Perfil RollPMU Barra Inferior AirZip 6.0x3cm Bronze Uniluxbz1003 ES-3990-4m (e7m) Unico ref.125 {1kg.=1,017ml}</x:v>
      </x:c>
      <x:c r="D331" s="21" t="str">
        <x:v>Bronze</x:v>
      </x:c>
      <x:c r="E331" s="24" t="n">
        <x:v>42.94</x:v>
      </x:c>
      <x:c r="F331" s="34" t="n">
        <x:v>1.017</x:v>
      </x:c>
      <x:c r="G331" s="21" t="str">
        <x:v>descricao</x:v>
      </x:c>
      <x:c r="H331" s="35" t="n">
        <x:f>IFERROR(E331/F331,"")</x:f>
        <x:v>42.22222222222222</x:v>
      </x:c>
      <x:c r="I331" s="17" t="str">
        <x:v>Precificado</x:v>
      </x:c>
    </x:row>
    <x:row r="332">
      <x:c r="A332" s="16" t="n">
        <x:v>332</x:v>
      </x:c>
      <x:c r="B332" s="21" t="str">
        <x:v>PE.000.016</x:v>
      </x:c>
      <x:c r="C332" s="57" t="str">
        <x:v>Perfil RollPMU Barra Inferior AirZip 6.0x3cm Bronze Uniluxbz1003 ES3990-7m(e4m) Unicoref.125  {kg=1,017ml}</x:v>
      </x:c>
      <x:c r="D332" s="21" t="str">
        <x:v>Bronze</x:v>
      </x:c>
      <x:c r="E332" s="24" t="n">
        <x:v>42.94</x:v>
      </x:c>
      <x:c r="F332" s="34" t="n">
        <x:v>1.017</x:v>
      </x:c>
      <x:c r="G332" s="21" t="str">
        <x:v>descricao</x:v>
      </x:c>
      <x:c r="H332" s="35" t="n">
        <x:f>IFERROR(E332/F332,"")</x:f>
        <x:v>42.22222222222222</x:v>
      </x:c>
      <x:c r="I332" s="17" t="str">
        <x:v>Precificado</x:v>
      </x:c>
    </x:row>
    <x:row r="333">
      <x:c r="A333" s="16" t="n">
        <x:v>333</x:v>
      </x:c>
      <x:c r="B333" s="21" t="str">
        <x:v>PE.000.013</x:v>
      </x:c>
      <x:c r="C333" s="57" t="str">
        <x:v>Perfil RollPMU Barra inferior AirZip 6.0x3cm Preto Unilux ESAF-3990-4m (e7m) (B)ref.125  {1kg.=1,017ml}</x:v>
      </x:c>
      <x:c r="D333" s="21" t="str">
        <x:v>Preto</x:v>
      </x:c>
      <x:c r="E333" s="24" t="n">
        <x:v>39.74</x:v>
      </x:c>
      <x:c r="F333" s="34" t="n">
        <x:v>1.017</x:v>
      </x:c>
      <x:c r="G333" s="21" t="str">
        <x:v>descricao</x:v>
      </x:c>
      <x:c r="H333" s="35" t="n">
        <x:f>IFERROR(E333/F333,"")</x:f>
        <x:v>39.07571288102262</x:v>
      </x:c>
      <x:c r="I333" s="17" t="str">
        <x:v>Precificado</x:v>
      </x:c>
    </x:row>
    <x:row r="334">
      <x:c r="A334" s="16" t="n">
        <x:v>334</x:v>
      </x:c>
      <x:c r="B334" s="21" t="str">
        <x:v>PE.000.014</x:v>
      </x:c>
      <x:c r="C334" s="57" t="str">
        <x:v>Perfil RollPMU Barra inferior AirZip 6.0x3cm Preto Unilux ESAF-3990-7m (e4m) (A) ref.125 {1kg.=1,017ml}</x:v>
      </x:c>
      <x:c r="D334" s="21" t="str">
        <x:v>Preto</x:v>
      </x:c>
      <x:c r="E334" s="24" t="n">
        <x:v>39.74</x:v>
      </x:c>
      <x:c r="F334" s="34" t="n">
        <x:v>1.017</x:v>
      </x:c>
      <x:c r="G334" s="21" t="str">
        <x:v>descricao</x:v>
      </x:c>
      <x:c r="H334" s="35" t="n">
        <x:f>IFERROR(E334/F334,"")</x:f>
        <x:v>39.07571288102262</x:v>
      </x:c>
      <x:c r="I334" s="17" t="str">
        <x:v>Precificado</x:v>
      </x:c>
    </x:row>
    <x:row r="335">
      <x:c r="A335" s="16" t="n">
        <x:v>335</x:v>
      </x:c>
      <x:c r="B335" s="21" t="str">
        <x:v>PE.000.018</x:v>
      </x:c>
      <x:c r="C335" s="57" t="str">
        <x:v>Perfil RollPMU Guia AirZip6.0x4.3cm .Pintar  ES-3992-7M (e 4m) ml}a ref.125 {1kg.=1,033ml}</x:v>
      </x:c>
      <x:c r="D335" s="21" t="str">
        <x:v>Alumínio cru</x:v>
      </x:c>
      <x:c r="E335" s="24" t="n">
        <x:v>34.74</x:v>
      </x:c>
      <x:c r="F335" s="34" t="n">
        <x:v>1.033</x:v>
      </x:c>
      <x:c r="G335" s="21" t="str">
        <x:v>descricao</x:v>
      </x:c>
      <x:c r="H335" s="35" t="n">
        <x:f>IFERROR(E335/F335,"")</x:f>
        <x:v>33.63020329138432</x:v>
      </x:c>
      <x:c r="I335" s="17" t="str">
        <x:v>Precificado</x:v>
      </x:c>
    </x:row>
    <x:row r="336">
      <x:c r="A336" s="16" t="n">
        <x:v>336</x:v>
      </x:c>
      <x:c r="B336" s="21" t="str">
        <x:v>PE.000.017</x:v>
      </x:c>
      <x:c r="C336" s="57" t="str">
        <x:v>Perfil RollPMU Guia AirZip6.0x4.3cm .Pintar ESAF3992-4m (e7m) ml}a ref.125  {1kg.=1,033ml}</x:v>
      </x:c>
      <x:c r="D336" s="21" t="str">
        <x:v>Alumínio cru</x:v>
      </x:c>
      <x:c r="E336" s="24" t="n">
        <x:v>34.74</x:v>
      </x:c>
      <x:c r="F336" s="34" t="n">
        <x:v>1.033</x:v>
      </x:c>
      <x:c r="G336" s="21" t="str">
        <x:v>descricao</x:v>
      </x:c>
      <x:c r="H336" s="35" t="n">
        <x:f>IFERROR(E336/F336,"")</x:f>
        <x:v>33.63020329138432</x:v>
      </x:c>
      <x:c r="I336" s="17" t="str">
        <x:v>Precificado</x:v>
      </x:c>
    </x:row>
    <x:row r="337">
      <x:c r="A337" s="16" t="n">
        <x:v>337</x:v>
      </x:c>
      <x:c r="B337" s="21" t="str">
        <x:v>PE.000.019</x:v>
      </x:c>
      <x:c r="C337" s="57" t="str">
        <x:v>Perfil RollPMU Guia AirZip6.0x4.3cm branco 4m (e7m) ESAF3992 (B) ref.125  {kg=1,033ml}</x:v>
      </x:c>
      <x:c r="D337" s="21" t="str">
        <x:v>Branco</x:v>
      </x:c>
      <x:c r="E337" s="24" t="n">
        <x:v>40.57</x:v>
      </x:c>
      <x:c r="F337" s="34" t="n">
        <x:v>1.033</x:v>
      </x:c>
      <x:c r="G337" s="21" t="str">
        <x:v>descricao</x:v>
      </x:c>
      <x:c r="H337" s="35" t="n">
        <x:f>IFERROR(E337/F337,"")</x:f>
        <x:v>39.27395934172314</x:v>
      </x:c>
      <x:c r="I337" s="17" t="str">
        <x:v>Precificado</x:v>
      </x:c>
    </x:row>
    <x:row r="338">
      <x:c r="A338" s="16" t="n">
        <x:v>338</x:v>
      </x:c>
      <x:c r="B338" s="21" t="str">
        <x:v>PE.000.020</x:v>
      </x:c>
      <x:c r="C338" s="57" t="str">
        <x:v>Perfil RollPMU Guia AirZip6.0x4.3cm branco 7m (e7m) ESAF3992 (A) ref.125  {kg=1,033ml}</x:v>
      </x:c>
      <x:c r="D338" s="21" t="str">
        <x:v>Branco</x:v>
      </x:c>
      <x:c r="E338" s="24" t="n">
        <x:v>40.57</x:v>
      </x:c>
      <x:c r="F338" s="34" t="n">
        <x:v>1.033</x:v>
      </x:c>
      <x:c r="G338" s="21" t="str">
        <x:v>descricao</x:v>
      </x:c>
      <x:c r="H338" s="35" t="n">
        <x:f>IFERROR(E338/F338,"")</x:f>
        <x:v>39.27395934172314</x:v>
      </x:c>
      <x:c r="I338" s="17" t="str">
        <x:v>Precificado</x:v>
      </x:c>
    </x:row>
    <x:row r="339">
      <x:c r="A339" s="16" t="n">
        <x:v>339</x:v>
      </x:c>
      <x:c r="B339" s="21" t="str">
        <x:v>PE.000.023</x:v>
      </x:c>
      <x:c r="C339" s="57" t="str">
        <x:v>Perfil RollPMU Guia AirZip6.0x4.3cm Bronze Uniluxbz1003 4M (4e7) ES-3992 ref.125 {1kg.=1,033ml}</x:v>
      </x:c>
      <x:c r="D339" s="21" t="str">
        <x:v>Bronze</x:v>
      </x:c>
      <x:c r="E339" s="24" t="n">
        <x:v>42.94</x:v>
      </x:c>
      <x:c r="F339" s="34" t="n">
        <x:v>1.033</x:v>
      </x:c>
      <x:c r="G339" s="21" t="str">
        <x:v>descricao</x:v>
      </x:c>
      <x:c r="H339" s="35" t="n">
        <x:f>IFERROR(E339/F339,"")</x:f>
        <x:v>41.568247821878025</x:v>
      </x:c>
      <x:c r="I339" s="17" t="str">
        <x:v>Precificado</x:v>
      </x:c>
    </x:row>
    <x:row r="340">
      <x:c r="A340" s="16" t="n">
        <x:v>340</x:v>
      </x:c>
      <x:c r="B340" s="21" t="str">
        <x:v>PE.000.024</x:v>
      </x:c>
      <x:c r="C340" s="57" t="str">
        <x:v>Perfil RollPMU Guia AirZip6.0x4.3cm Bronze Uniluxbz1003 7,00m (4e7) ES-3992ref.125 {1kg.=1,033ml}</x:v>
      </x:c>
      <x:c r="D340" s="21" t="str">
        <x:v>Bronze</x:v>
      </x:c>
      <x:c r="E340" s="24" t="n">
        <x:v>42.94</x:v>
      </x:c>
      <x:c r="F340" s="34" t="n">
        <x:v>1.033</x:v>
      </x:c>
      <x:c r="G340" s="21" t="str">
        <x:v>descricao</x:v>
      </x:c>
      <x:c r="H340" s="35" t="n">
        <x:f>IFERROR(E340/F340,"")</x:f>
        <x:v>41.568247821878025</x:v>
      </x:c>
      <x:c r="I340" s="17" t="str">
        <x:v>Precificado</x:v>
      </x:c>
    </x:row>
    <x:row r="341">
      <x:c r="A341" s="16" t="n">
        <x:v>341</x:v>
      </x:c>
      <x:c r="B341" s="21" t="str">
        <x:v>PE.000.021</x:v>
      </x:c>
      <x:c r="C341" s="57" t="str">
        <x:v>Perfil RollPMU Guia AirZip6.0x4.3cm preto 4,00m (A) (4e7) ESAF-3992 ref.125 {1kg.=1,033ml}</x:v>
      </x:c>
      <x:c r="D341" s="21" t="str">
        <x:v>Preto</x:v>
      </x:c>
      <x:c r="E341" s="24" t="n">
        <x:v>39.74</x:v>
      </x:c>
      <x:c r="F341" s="34" t="n">
        <x:v>1.033</x:v>
      </x:c>
      <x:c r="G341" s="21" t="str">
        <x:v>descricao</x:v>
      </x:c>
      <x:c r="H341" s="35" t="n">
        <x:f>IFERROR(E341/F341,"")</x:f>
        <x:v>38.470474346563414</x:v>
      </x:c>
      <x:c r="I341" s="17" t="str">
        <x:v>Precificado</x:v>
      </x:c>
    </x:row>
    <x:row r="342">
      <x:c r="A342" s="16" t="n">
        <x:v>342</x:v>
      </x:c>
      <x:c r="B342" s="21" t="str">
        <x:v>PE.000.022</x:v>
      </x:c>
      <x:c r="C342" s="57" t="str">
        <x:v>Perfil RollPMU Guia AirZip6.0x4.3cm preto 7,00m (4e7) ESAF-3992 (B)ref.125  {1kg.=1,033ml}</x:v>
      </x:c>
      <x:c r="D342" s="21" t="str">
        <x:v>Preto</x:v>
      </x:c>
      <x:c r="E342" s="24" t="n">
        <x:v>39.74</x:v>
      </x:c>
      <x:c r="F342" s="34" t="n">
        <x:v>1.033</x:v>
      </x:c>
      <x:c r="G342" s="21" t="str">
        <x:v>descricao</x:v>
      </x:c>
      <x:c r="H342" s="35" t="n">
        <x:f>IFERROR(E342/F342,"")</x:f>
        <x:v>38.470474346563414</x:v>
      </x:c>
      <x:c r="I342" s="17" t="str">
        <x:v>Precificado</x:v>
      </x:c>
    </x:row>
    <x:row r="343">
      <x:c r="A343" s="16" t="n">
        <x:v>343</x:v>
      </x:c>
      <x:c r="B343" s="21" t="str">
        <x:v>PS.000.017</x:v>
      </x:c>
      <x:c r="C343" s="57" t="str">
        <x:v>Perfil RollPro CxZ Blinds110 Branco 5,00M (e 6,00m) (25005001) Pct10f(1kg.=1,11m) Q.Ass 12518/12) squarebox</x:v>
      </x:c>
      <x:c r="D343" s="21" t="str">
        <x:v>Branco</x:v>
      </x:c>
      <x:c r="E343" s="24" t="n">
        <x:v>40.57</x:v>
      </x:c>
      <x:c r="F343" s="34" t="n">
        <x:v>1.11</x:v>
      </x:c>
      <x:c r="G343" s="21" t="str">
        <x:v>descricao</x:v>
      </x:c>
      <x:c r="H343" s="35" t="n">
        <x:f>IFERROR(E343/F343,"")</x:f>
        <x:v>36.549549549549546</x:v>
      </x:c>
      <x:c r="I343" s="17" t="str">
        <x:v>Precificado</x:v>
      </x:c>
    </x:row>
    <x:row r="344">
      <x:c r="A344" s="16" t="n">
        <x:v>344</x:v>
      </x:c>
      <x:c r="B344" s="21" t="str">
        <x:v>PS.000.018</x:v>
      </x:c>
      <x:c r="C344" s="57" t="str">
        <x:v>Perfil RollPro CxZ Blinds110 Branco 6M (e 5m) (25006001) Pct12f (1kg.=1,11m) (Q.Ass usar 125) squarebox</x:v>
      </x:c>
      <x:c r="D344" s="21" t="str">
        <x:v>Branco</x:v>
      </x:c>
      <x:c r="E344" s="24" t="n">
        <x:v>40.57</x:v>
      </x:c>
      <x:c r="F344" s="34" t="n">
        <x:v>1.11</x:v>
      </x:c>
      <x:c r="G344" s="21" t="str">
        <x:v>descricao</x:v>
      </x:c>
      <x:c r="H344" s="35" t="n">
        <x:f>IFERROR(E344/F344,"")</x:f>
        <x:v>36.549549549549546</x:v>
      </x:c>
      <x:c r="I344" s="17" t="str">
        <x:v>Precificado</x:v>
      </x:c>
    </x:row>
    <x:row r="345">
      <x:c r="A345" s="16" t="n">
        <x:v>345</x:v>
      </x:c>
      <x:c r="B345" s="21" t="str">
        <x:v>PS.000.116</x:v>
      </x:c>
      <x:c r="C345" s="57" t="str">
        <x:v>Perfil RollPro CxZ Blinds110 Preto 5M (25005009) Pct10f (1kg.=1,11m) (Q.Ass usar 125s)squarebox</x:v>
      </x:c>
      <x:c r="D345" s="21" t="str">
        <x:v>Preto</x:v>
      </x:c>
      <x:c r="E345" s="24" t="n">
        <x:v>39.74</x:v>
      </x:c>
      <x:c r="F345" s="34" t="n">
        <x:v>1.11</x:v>
      </x:c>
      <x:c r="G345" s="21" t="str">
        <x:v>descricao</x:v>
      </x:c>
      <x:c r="H345" s="35" t="n">
        <x:f>IFERROR(E345/F345,"")</x:f>
        <x:v>35.8018018018018</x:v>
      </x:c>
      <x:c r="I345" s="17" t="str">
        <x:v>Precificado</x:v>
      </x:c>
    </x:row>
    <x:row r="346">
      <x:c r="A346" s="16" t="n">
        <x:v>346</x:v>
      </x:c>
      <x:c r="B346" s="21" t="str">
        <x:v>PS.000.020</x:v>
      </x:c>
      <x:c r="C346" s="57" t="str">
        <x:v>Perfil RollPro CxZ Blinds125 Branco 5M (25165001)  Pct10f (B) (1kg.=0,3759m) )ref.125 squarebox L Q.A.F.L</x:v>
      </x:c>
      <x:c r="D346" s="21" t="str">
        <x:v>Branco</x:v>
      </x:c>
      <x:c r="E346" s="24" t="n">
        <x:v>40.57</x:v>
      </x:c>
      <x:c r="F346" s="34" t="n">
        <x:v>0.3759</x:v>
      </x:c>
      <x:c r="G346" s="21" t="str">
        <x:v>descricao</x:v>
      </x:c>
      <x:c r="H346" s="35" t="n">
        <x:f>IFERROR(E346/F346,"")</x:f>
        <x:v>107.92764032987496</x:v>
      </x:c>
      <x:c r="I346" s="17" t="str">
        <x:v>Precificado</x:v>
      </x:c>
    </x:row>
    <x:row r="347">
      <x:c r="A347" s="16" t="n">
        <x:v>347</x:v>
      </x:c>
      <x:c r="B347" s="21" t="str">
        <x:v>PS.000.118</x:v>
      </x:c>
      <x:c r="C347" s="57" t="str">
        <x:v>Perfil RollPro CxZ Blinds125 Preto 5M (25165009) Pct10f (1kg.=0,3759m) ref.125 squareboxL q.a.f.l</x:v>
      </x:c>
      <x:c r="D347" s="21" t="str">
        <x:v>Preto</x:v>
      </x:c>
      <x:c r="E347" s="24" t="n">
        <x:v>39.74</x:v>
      </x:c>
      <x:c r="F347" s="34" t="n">
        <x:v>0.3759</x:v>
      </x:c>
      <x:c r="G347" s="21" t="str">
        <x:v>descricao</x:v>
      </x:c>
      <x:c r="H347" s="35" t="n">
        <x:f>IFERROR(E347/F347,"")</x:f>
        <x:v>105.7196062782655</x:v>
      </x:c>
      <x:c r="I347" s="17" t="str">
        <x:v>Precificado</x:v>
      </x:c>
    </x:row>
    <x:row r="348">
      <x:c r="A348" s="16" t="n">
        <x:v>348</x:v>
      </x:c>
      <x:c r="B348" s="21" t="str">
        <x:v>001.008.002.000.12 - 5562LIGA-6069</x:v>
      </x:c>
      <x:c r="C348" s="57" t="str">
        <x:v>Perfil RollPro Tubo 50mm (PM-5562) UX-0004 Cru 6m(4,5m e 7m) (B) {1kg.=1,07180ml]</x:v>
      </x:c>
      <x:c r="D348" s="21" t="str">
        <x:v>Alumínio cru</x:v>
      </x:c>
      <x:c r="E348" s="24" t="n">
        <x:v>34.74</x:v>
      </x:c>
      <x:c r="F348" s="34" t="n">
        <x:v>1.0718</x:v>
      </x:c>
      <x:c r="G348" s="21" t="str">
        <x:v>descricao</x:v>
      </x:c>
      <x:c r="H348" s="35" t="n">
        <x:f>IFERROR(E348/F348,"")</x:f>
        <x:v>32.412763575293894</x:v>
      </x:c>
      <x:c r="I348" s="17" t="str">
        <x:v>Precificado</x:v>
      </x:c>
    </x:row>
    <x:row r="349">
      <x:c r="A349" s="16" t="n">
        <x:v>349</x:v>
      </x:c>
      <x:c r="B349" s="21" t="str">
        <x:v>001.008.002.000.12 - 5562LIGA-7000</x:v>
      </x:c>
      <x:c r="C349" s="57" t="str">
        <x:v>Perfil RollPro Tubo 50mm (PM-5562) UX-0004 Cru 7m (4,5m e 6m) (B) {1kg.=11,07768ml</x:v>
      </x:c>
      <x:c r="D349" s="21" t="str">
        <x:v>Alumínio cru</x:v>
      </x:c>
      <x:c r="E349" s="24" t="n">
        <x:v>34.74</x:v>
      </x:c>
      <x:c r="F349" s="34" t="n">
        <x:v>11.07768</x:v>
      </x:c>
      <x:c r="G349" s="21" t="str">
        <x:v>descricao</x:v>
      </x:c>
      <x:c r="H349" s="35" t="n">
        <x:f>IFERROR(E349/F349,"")</x:f>
        <x:v>3.136035704226878</x:v>
      </x:c>
      <x:c r="I349" s="17" t="str">
        <x:v>Precificado</x:v>
      </x:c>
    </x:row>
    <x:row r="350">
      <x:c r="A350" s="16" t="n">
        <x:v>350</x:v>
      </x:c>
      <x:c r="B350" s="21" t="str">
        <x:v>PSP.000.248</x:v>
      </x:c>
      <x:c r="C350" s="57" t="str">
        <x:v>Perfil RollPro Tubo Aco 85mm Cru 90856050-6M (B) 1kg.=0,515 F1286</x:v>
      </x:c>
      <x:c r="D350" s="21" t="str">
        <x:v>Aço/outros</x:v>
      </x:c>
      <x:c r="E350" s="24" t="n">
        <x:v>20</x:v>
      </x:c>
      <x:c r="F350" s="34" t="n">
        <x:v>0.515</x:v>
      </x:c>
      <x:c r="G350" s="21" t="str">
        <x:v>descricao</x:v>
      </x:c>
      <x:c r="H350" s="35" t="n">
        <x:f>IFERROR(E350/F350,"")</x:f>
        <x:v>38.83495145631068</x:v>
      </x:c>
      <x:c r="I350" s="17" t="str">
        <x:v>Precificado</x:v>
      </x:c>
    </x:row>
    <x:row r="351">
      <x:c r="A351" s="16" t="n">
        <x:v>351</x:v>
      </x:c>
      <x:c r="B351" s="21" t="str">
        <x:v>PS.000.522</x:v>
      </x:c>
      <x:c r="C351" s="57" t="str">
        <x:v>Perfil RollPro/Max Base Stand .PINTAR TMR4247-4M (6e7m) UX-0031 m) Pct1 08/24 ml}aref.125(1kg.=1,342m)</x:v>
      </x:c>
      <x:c r="D351" s="21" t="str">
        <x:v>Alumínio cru</x:v>
      </x:c>
      <x:c r="E351" s="24" t="n">
        <x:v>34.74</x:v>
      </x:c>
      <x:c r="F351" s="34" t="n">
        <x:v>1.342</x:v>
      </x:c>
      <x:c r="G351" s="21" t="str">
        <x:v>descricao</x:v>
      </x:c>
      <x:c r="H351" s="35" t="n">
        <x:f>IFERROR(E351/F351,"")</x:f>
        <x:v>25.886736214605065</x:v>
      </x:c>
      <x:c r="I351" s="17" t="str">
        <x:v>Precificado</x:v>
      </x:c>
    </x:row>
    <x:row r="352">
      <x:c r="A352" s="16" t="n">
        <x:v>352</x:v>
      </x:c>
      <x:c r="B352" s="21" t="str">
        <x:v>PS.000.516</x:v>
      </x:c>
      <x:c r="C352" s="57" t="str">
        <x:v>Perfil RollPro/Max Base Stand .PINTAR TMR4247-6M (4e7m) UX-0031 ) Pct1 08/24 ml}a ref.125(1kg.=1,379m)</x:v>
      </x:c>
      <x:c r="D352" s="21" t="str">
        <x:v>Alumínio cru</x:v>
      </x:c>
      <x:c r="E352" s="24" t="n">
        <x:v>34.74</x:v>
      </x:c>
      <x:c r="F352" s="34" t="n">
        <x:v>1.379</x:v>
      </x:c>
      <x:c r="G352" s="21" t="str">
        <x:v>descricao</x:v>
      </x:c>
      <x:c r="H352" s="35" t="n">
        <x:f>IFERROR(E352/F352,"")</x:f>
        <x:v>25.19216823785352</x:v>
      </x:c>
      <x:c r="I352" s="17" t="str">
        <x:v>Precificado</x:v>
      </x:c>
    </x:row>
    <x:row r="353">
      <x:c r="A353" s="16" t="n">
        <x:v>353</x:v>
      </x:c>
      <x:c r="B353" s="21" t="str">
        <x:v>PS.000.526</x:v>
      </x:c>
      <x:c r="C353" s="57" t="str">
        <x:v>Perfil RollPro/Max Base Stand .PINTAR TMR4247-7M (4e6m) UX-0031 ml}a ref.125(1kg.=1,377m)</x:v>
      </x:c>
      <x:c r="D353" s="21" t="str">
        <x:v>Alumínio cru</x:v>
      </x:c>
      <x:c r="E353" s="24" t="n">
        <x:v>34.74</x:v>
      </x:c>
      <x:c r="F353" s="34" t="n">
        <x:v>1.377</x:v>
      </x:c>
      <x:c r="G353" s="21" t="str">
        <x:v>descricao</x:v>
      </x:c>
      <x:c r="H353" s="35" t="n">
        <x:f>IFERROR(E353/F353,"")</x:f>
        <x:v>25.228758169934643</x:v>
      </x:c>
      <x:c r="I353" s="17" t="str">
        <x:v>Precificado</x:v>
      </x:c>
    </x:row>
    <x:row r="354">
      <x:c r="A354" s="16" t="n">
        <x:v>354</x:v>
      </x:c>
      <x:c r="B354" s="21" t="str">
        <x:v>PS.000.523</x:v>
      </x:c>
      <x:c r="C354" s="57" t="str">
        <x:v>Perfil RollPro/Max Base Stand Branco TMR4247-4M (6e7m) UX-0031 ref.125(1kg.=1,379m)</x:v>
      </x:c>
      <x:c r="D354" s="21" t="str">
        <x:v>Branco</x:v>
      </x:c>
      <x:c r="E354" s="24" t="n">
        <x:v>40.57</x:v>
      </x:c>
      <x:c r="F354" s="34" t="n">
        <x:v>1.379</x:v>
      </x:c>
      <x:c r="G354" s="21" t="str">
        <x:v>descricao</x:v>
      </x:c>
      <x:c r="H354" s="35" t="n">
        <x:f>IFERROR(E354/F354,"")</x:f>
        <x:v>29.419869470630893</x:v>
      </x:c>
      <x:c r="I354" s="17" t="str">
        <x:v>Precificado</x:v>
      </x:c>
    </x:row>
    <x:row r="355">
      <x:c r="A355" s="16" t="n">
        <x:v>355</x:v>
      </x:c>
      <x:c r="B355" s="21" t="str">
        <x:v>PS.000.518</x:v>
      </x:c>
      <x:c r="C355" s="57" t="str">
        <x:v>Perfil RollPro/Max Base Stand Branco TMR4247-6M (4e7m) UX-0031 ref.125(1kg.=1,379m)</x:v>
      </x:c>
      <x:c r="D355" s="21" t="str">
        <x:v>Branco</x:v>
      </x:c>
      <x:c r="E355" s="24" t="n">
        <x:v>40.57</x:v>
      </x:c>
      <x:c r="F355" s="34" t="n">
        <x:v>1.379</x:v>
      </x:c>
      <x:c r="G355" s="21" t="str">
        <x:v>descricao</x:v>
      </x:c>
      <x:c r="H355" s="35" t="n">
        <x:f>IFERROR(E355/F355,"")</x:f>
        <x:v>29.419869470630893</x:v>
      </x:c>
      <x:c r="I355" s="17" t="str">
        <x:v>Precificado</x:v>
      </x:c>
    </x:row>
    <x:row r="356">
      <x:c r="A356" s="16" t="n">
        <x:v>356</x:v>
      </x:c>
      <x:c r="B356" s="21" t="str">
        <x:v>PS.000.527</x:v>
      </x:c>
      <x:c r="C356" s="57" t="str">
        <x:v>Perfil RollPro/Max Base Stand Branco TMR4247-7M (4e6m) UX-0031 ref.125(1kg.=1,379m)</x:v>
      </x:c>
      <x:c r="D356" s="21" t="str">
        <x:v>Branco</x:v>
      </x:c>
      <x:c r="E356" s="24" t="n">
        <x:v>40.57</x:v>
      </x:c>
      <x:c r="F356" s="34" t="n">
        <x:v>1.379</x:v>
      </x:c>
      <x:c r="G356" s="21" t="str">
        <x:v>descricao</x:v>
      </x:c>
      <x:c r="H356" s="35" t="n">
        <x:f>IFERROR(E356/F356,"")</x:f>
        <x:v>29.419869470630893</x:v>
      </x:c>
      <x:c r="I356" s="17" t="str">
        <x:v>Precificado</x:v>
      </x:c>
    </x:row>
    <x:row r="357">
      <x:c r="A357" s="16" t="n">
        <x:v>357</x:v>
      </x:c>
      <x:c r="B357" s="21" t="str">
        <x:v>PS.000.524</x:v>
      </x:c>
      <x:c r="C357" s="57" t="str">
        <x:v>Perfil RollPro/Max Base Stand Bronze Uniluxbz1003 TMR4247-4M (6e7m) UX-0031 ref.125(1kg.=1,379m) .)</x:v>
      </x:c>
      <x:c r="D357" s="21" t="str">
        <x:v>Bronze</x:v>
      </x:c>
      <x:c r="E357" s="24" t="n">
        <x:v>42.94</x:v>
      </x:c>
      <x:c r="F357" s="34" t="n">
        <x:v>1.379</x:v>
      </x:c>
      <x:c r="G357" s="21" t="str">
        <x:v>descricao</x:v>
      </x:c>
      <x:c r="H357" s="35" t="n">
        <x:f>IFERROR(E357/F357,"")</x:f>
        <x:v>31.138506163886873</x:v>
      </x:c>
      <x:c r="I357" s="17" t="str">
        <x:v>Precificado</x:v>
      </x:c>
    </x:row>
    <x:row r="358">
      <x:c r="A358" s="16" t="n">
        <x:v>358</x:v>
      </x:c>
      <x:c r="B358" s="21" t="str">
        <x:v>PSP.000.304</x:v>
      </x:c>
      <x:c r="C358" s="57" t="str">
        <x:v>Perfil RollPro/Max Base Stand Bronze Uniluxbz1003 TMR4247-6M (4e7m) UX-0031 ref.125(1kg.=1,379m)</x:v>
      </x:c>
      <x:c r="D358" s="21" t="str">
        <x:v>Bronze</x:v>
      </x:c>
      <x:c r="E358" s="24" t="n">
        <x:v>42.94</x:v>
      </x:c>
      <x:c r="F358" s="34" t="n">
        <x:v>1.379</x:v>
      </x:c>
      <x:c r="G358" s="21" t="str">
        <x:v>descricao</x:v>
      </x:c>
      <x:c r="H358" s="35" t="n">
        <x:f>IFERROR(E358/F358,"")</x:f>
        <x:v>31.138506163886873</x:v>
      </x:c>
      <x:c r="I358" s="17" t="str">
        <x:v>Precificado</x:v>
      </x:c>
    </x:row>
    <x:row r="359">
      <x:c r="A359" s="16" t="n">
        <x:v>359</x:v>
      </x:c>
      <x:c r="B359" s="21" t="str">
        <x:v>PS.000.528</x:v>
      </x:c>
      <x:c r="C359" s="57" t="str">
        <x:v>Perfil RollPro/Max Base Stand Bronze Uniluxbz1003 TMR4247-7M (4e6m) UX-0031 ref.125(1kg.=1,379m)  ()</x:v>
      </x:c>
      <x:c r="D359" s="21" t="str">
        <x:v>Bronze</x:v>
      </x:c>
      <x:c r="E359" s="24" t="n">
        <x:v>42.94</x:v>
      </x:c>
      <x:c r="F359" s="34" t="n">
        <x:v>1.379</x:v>
      </x:c>
      <x:c r="G359" s="21" t="str">
        <x:v>descricao</x:v>
      </x:c>
      <x:c r="H359" s="35" t="n">
        <x:f>IFERROR(E359/F359,"")</x:f>
        <x:v>31.138506163886873</x:v>
      </x:c>
      <x:c r="I359" s="17" t="str">
        <x:v>Precificado</x:v>
      </x:c>
    </x:row>
    <x:row r="360">
      <x:c r="A360" s="16" t="n">
        <x:v>360</x:v>
      </x:c>
      <x:c r="B360" s="21" t="str">
        <x:v>PS.000.525</x:v>
      </x:c>
      <x:c r="C360" s="57" t="str">
        <x:v>Perfil RollPro/Max Base Stand Preto TMR4247-4M (6e7m) UX-0031 (B) (1kg.=1,379m)ref.125</x:v>
      </x:c>
      <x:c r="D360" s="21" t="str">
        <x:v>Preto</x:v>
      </x:c>
      <x:c r="E360" s="24" t="n">
        <x:v>39.74</x:v>
      </x:c>
      <x:c r="F360" s="34" t="n">
        <x:v>1.379</x:v>
      </x:c>
      <x:c r="G360" s="21" t="str">
        <x:v>descricao</x:v>
      </x:c>
      <x:c r="H360" s="35" t="n">
        <x:f>IFERROR(E360/F360,"")</x:f>
        <x:v>28.817984046410444</x:v>
      </x:c>
      <x:c r="I360" s="17" t="str">
        <x:v>Precificado</x:v>
      </x:c>
    </x:row>
    <x:row r="361">
      <x:c r="A361" s="16" t="n">
        <x:v>361</x:v>
      </x:c>
      <x:c r="B361" s="21" t="str">
        <x:v>PS.000.519</x:v>
      </x:c>
      <x:c r="C361" s="57" t="str">
        <x:v>Perfil RollPro/Max Base Stand Preto TMR4247-6M (4e7m) UX-0031 (1kg.=1,379m)ref.125</x:v>
      </x:c>
      <x:c r="D361" s="21" t="str">
        <x:v>Preto</x:v>
      </x:c>
      <x:c r="E361" s="24" t="n">
        <x:v>39.74</x:v>
      </x:c>
      <x:c r="F361" s="34" t="n">
        <x:v>1.379</x:v>
      </x:c>
      <x:c r="G361" s="21" t="str">
        <x:v>descricao</x:v>
      </x:c>
      <x:c r="H361" s="35" t="n">
        <x:f>IFERROR(E361/F361,"")</x:f>
        <x:v>28.817984046410444</x:v>
      </x:c>
      <x:c r="I361" s="17" t="str">
        <x:v>Precificado</x:v>
      </x:c>
    </x:row>
    <x:row r="362">
      <x:c r="A362" s="16" t="n">
        <x:v>362</x:v>
      </x:c>
      <x:c r="B362" s="21" t="str">
        <x:v>PS.000.529</x:v>
      </x:c>
      <x:c r="C362" s="57" t="str">
        <x:v>Perfil RollPro/Max Base Stand Preto TMR4247-7M (4e6m) UX-0031 (1kg.=1,379m)ref.125</x:v>
      </x:c>
      <x:c r="D362" s="21" t="str">
        <x:v>Preto</x:v>
      </x:c>
      <x:c r="E362" s="24" t="n">
        <x:v>39.74</x:v>
      </x:c>
      <x:c r="F362" s="34" t="n">
        <x:v>1.379</x:v>
      </x:c>
      <x:c r="G362" s="21" t="str">
        <x:v>descricao</x:v>
      </x:c>
      <x:c r="H362" s="35" t="n">
        <x:f>IFERROR(E362/F362,"")</x:f>
        <x:v>28.817984046410444</x:v>
      </x:c>
      <x:c r="I362" s="17" t="str">
        <x:v>Precificado</x:v>
      </x:c>
    </x:row>
    <x:row r="363">
      <x:c r="A363" s="16" t="n">
        <x:v>363</x:v>
      </x:c>
      <x:c r="B363" s="21" t="str">
        <x:v>PC.000.0140</x:v>
      </x:c>
      <x:c r="C363" s="57" t="str">
        <x:v>Perfil Round Box M (RC3030/ES-4105) PINTAR pct34,8m (B) (1kg.=1,58m) ml}a F0791 01/23</x:v>
      </x:c>
      <x:c r="D363" s="21" t="str">
        <x:v>Alumínio cru</x:v>
      </x:c>
      <x:c r="E363" s="24" t="n">
        <x:v>34.74</x:v>
      </x:c>
      <x:c r="F363" s="34" t="n">
        <x:v>1.58</x:v>
      </x:c>
      <x:c r="G363" s="21" t="str">
        <x:v>descricao</x:v>
      </x:c>
      <x:c r="H363" s="35" t="n">
        <x:f>IFERROR(E363/F363,"")</x:f>
        <x:v>21.9873417721519</x:v>
      </x:c>
      <x:c r="I363" s="17" t="str">
        <x:v>Precificado</x:v>
      </x:c>
    </x:row>
    <x:row r="364">
      <x:c r="A364" s="16" t="n">
        <x:v>364</x:v>
      </x:c>
      <x:c r="B364" s="21" t="str">
        <x:v>PC.000.846</x:v>
      </x:c>
      <x:c r="C364" s="57" t="str">
        <x:v>Perfil Round Box M (RC3030/ESAF-4105) 1/25 Branco 9003 STARCOLOR (A) (1kg.=1,58m) pct6 q.a.ss PC.000.021</x:v>
      </x:c>
      <x:c r="D364" s="21" t="str">
        <x:v>Branco</x:v>
      </x:c>
      <x:c r="E364" s="24" t="n">
        <x:v>40.57</x:v>
      </x:c>
      <x:c r="F364" s="34" t="n">
        <x:v>1.58</x:v>
      </x:c>
      <x:c r="G364" s="21" t="str">
        <x:v>descricao</x:v>
      </x:c>
      <x:c r="H364" s="35" t="n">
        <x:f>IFERROR(E364/F364,"")</x:f>
        <x:v>25.677215189873415</x:v>
      </x:c>
      <x:c r="I364" s="17" t="str">
        <x:v>Precificado</x:v>
      </x:c>
    </x:row>
    <x:row r="365">
      <x:c r="A365" s="16" t="n">
        <x:v>365</x:v>
      </x:c>
      <x:c r="B365" s="21" t="str">
        <x:v>PC.000.020</x:v>
      </x:c>
      <x:c r="C365" s="57" t="str">
        <x:v>Perfil Round Box M (RC3030/ESAF-4105) Anodizado an (B) (1kg.=1,58m) pct5,80 1/25  q.a.ss cinza</x:v>
      </x:c>
      <x:c r="D365" s="21" t="str">
        <x:v>Cinza</x:v>
      </x:c>
      <x:c r="E365" s="24" t="n">
        <x:v>42.61</x:v>
      </x:c>
      <x:c r="F365" s="34" t="n">
        <x:v>1.58</x:v>
      </x:c>
      <x:c r="G365" s="21" t="str">
        <x:v>descricao</x:v>
      </x:c>
      <x:c r="H365" s="35" t="n">
        <x:f>IFERROR(E365/F365,"")</x:f>
        <x:v>26.968354430379744</x:v>
      </x:c>
      <x:c r="I365" s="17" t="str">
        <x:v>Precificado</x:v>
      </x:c>
    </x:row>
    <x:row r="366">
      <x:c r="A366" s="16" t="n">
        <x:v>366</x:v>
      </x:c>
      <x:c r="B366" s="21" t="str">
        <x:v>PC.000.021</x:v>
      </x:c>
      <x:c r="C366" s="57" t="str">
        <x:v>Perfil Round Box M (RC3030/ESAF-4105) Branco bco COULISSE (B) (1kg.=1,58m) 1/25 pct6</x:v>
      </x:c>
      <x:c r="D366" s="21" t="str">
        <x:v>Branco</x:v>
      </x:c>
      <x:c r="E366" s="24" t="n">
        <x:v>40.57</x:v>
      </x:c>
      <x:c r="F366" s="34" t="n">
        <x:v>1.58</x:v>
      </x:c>
      <x:c r="G366" s="21" t="str">
        <x:v>descricao</x:v>
      </x:c>
      <x:c r="H366" s="35" t="n">
        <x:f>IFERROR(E366/F366,"")</x:f>
        <x:v>25.677215189873415</x:v>
      </x:c>
      <x:c r="I366" s="17" t="str">
        <x:v>Precificado</x:v>
      </x:c>
    </x:row>
    <x:row r="367">
      <x:c r="A367" s="16" t="n">
        <x:v>367</x:v>
      </x:c>
      <x:c r="B367" s="21" t="str">
        <x:v>PC.000.869</x:v>
      </x:c>
      <x:c r="C367" s="57" t="str">
        <x:v>Perfil Round Box M (RC3030/ESAF-4105) Cinza (1kg.=1,58m) pct6 12/24</x:v>
      </x:c>
      <x:c r="D367" s="21" t="str">
        <x:v>Cinza</x:v>
      </x:c>
      <x:c r="E367" s="24" t="n">
        <x:v>42.61</x:v>
      </x:c>
      <x:c r="F367" s="34" t="n">
        <x:v>1.58</x:v>
      </x:c>
      <x:c r="G367" s="21" t="str">
        <x:v>descricao</x:v>
      </x:c>
      <x:c r="H367" s="35" t="n">
        <x:f>IFERROR(E367/F367,"")</x:f>
        <x:v>26.968354430379744</x:v>
      </x:c>
      <x:c r="I367" s="17" t="str">
        <x:v>Precificado</x:v>
      </x:c>
    </x:row>
    <x:row r="368">
      <x:c r="A368" s="16" t="n">
        <x:v>368</x:v>
      </x:c>
      <x:c r="B368" s="21" t="str">
        <x:v>PC.000.910</x:v>
      </x:c>
      <x:c r="C368" s="57" t="str">
        <x:v>Perfil Round Box M (RC3030/ESAF-4105) Preto pt (1kg.=1,58m) 6m 07/25</x:v>
      </x:c>
      <x:c r="D368" s="21" t="str">
        <x:v>Preto</x:v>
      </x:c>
      <x:c r="E368" s="24" t="n">
        <x:v>39.74</x:v>
      </x:c>
      <x:c r="F368" s="34" t="n">
        <x:v>1.58</x:v>
      </x:c>
      <x:c r="G368" s="21" t="str">
        <x:v>descricao</x:v>
      </x:c>
      <x:c r="H368" s="35" t="n">
        <x:f>IFERROR(E368/F368,"")</x:f>
        <x:v>25.151898734177216</x:v>
      </x:c>
      <x:c r="I368" s="17" t="str">
        <x:v>Precificado</x:v>
      </x:c>
    </x:row>
    <x:row r="369">
      <x:c r="A369" s="16" t="n">
        <x:v>369</x:v>
      </x:c>
      <x:c r="B369" s="21" t="str">
        <x:v>PC.000.024</x:v>
      </x:c>
      <x:c r="C369" s="57" t="str">
        <x:v>Perfil Round Box S (RC2022/alpex 6563) Anodizado an (1kg.=2,64m) PCT6 01/20 q.a.ss cinza</x:v>
      </x:c>
      <x:c r="D369" s="21" t="str">
        <x:v>Cinza</x:v>
      </x:c>
      <x:c r="E369" s="24" t="n">
        <x:v>42.61</x:v>
      </x:c>
      <x:c r="F369" s="34" t="n">
        <x:v>2.64</x:v>
      </x:c>
      <x:c r="G369" s="21" t="str">
        <x:v>descricao</x:v>
      </x:c>
      <x:c r="H369" s="35" t="n">
        <x:f>IFERROR(E369/F369,"")</x:f>
        <x:v>16.140151515151516</x:v>
      </x:c>
      <x:c r="I369" s="17" t="str">
        <x:v>Precificado</x:v>
      </x:c>
    </x:row>
    <x:row r="370">
      <x:c r="A370" s="16" t="n">
        <x:v>370</x:v>
      </x:c>
      <x:c r="B370" s="21" t="str">
        <x:v>PC.000.025</x:v>
      </x:c>
      <x:c r="C370" s="57" t="str">
        <x:v>Perfil Round Box S (RC2022/alpex 6563) Branco bco Pct6m (B) (1kg.=2,64m)</x:v>
      </x:c>
      <x:c r="D370" s="21" t="str">
        <x:v>Branco</x:v>
      </x:c>
      <x:c r="E370" s="24" t="n">
        <x:v>40.57</x:v>
      </x:c>
      <x:c r="F370" s="34" t="n">
        <x:v>2.64</x:v>
      </x:c>
      <x:c r="G370" s="21" t="str">
        <x:v>descricao</x:v>
      </x:c>
      <x:c r="H370" s="35" t="n">
        <x:f>IFERROR(E370/F370,"")</x:f>
        <x:v>15.367424242424242</x:v>
      </x:c>
      <x:c r="I370" s="17" t="str">
        <x:v>Precificado</x:v>
      </x:c>
    </x:row>
    <x:row r="371">
      <x:c r="A371" s="16" t="n">
        <x:v>371</x:v>
      </x:c>
      <x:c r="B371" s="21" t="str">
        <x:v>PC.000.870</x:v>
      </x:c>
      <x:c r="C371" s="57" t="str">
        <x:v>Perfil Round Box S (RC2022/alpex 6563) Cinza (1kg.=2,64m) PCT6 12/24</x:v>
      </x:c>
      <x:c r="D371" s="21" t="str">
        <x:v>Cinza</x:v>
      </x:c>
      <x:c r="E371" s="24" t="n">
        <x:v>42.61</x:v>
      </x:c>
      <x:c r="F371" s="34" t="n">
        <x:v>2.64</x:v>
      </x:c>
      <x:c r="G371" s="21" t="str">
        <x:v>descricao</x:v>
      </x:c>
      <x:c r="H371" s="35" t="n">
        <x:f>IFERROR(E371/F371,"")</x:f>
        <x:v>16.140151515151516</x:v>
      </x:c>
      <x:c r="I371" s="17" t="str">
        <x:v>Precificado</x:v>
      </x:c>
    </x:row>
    <x:row r="372">
      <x:c r="A372" s="16" t="n">
        <x:v>372</x:v>
      </x:c>
      <x:c r="B372" s="21" t="str">
        <x:v>PC.000.0141</x:v>
      </x:c>
      <x:c r="C372" s="57" t="str">
        <x:v>Perfil Round Box S (RC2022/alpex 6563) PINTAR 6m (1kg.=2,71669m)  ml}a</x:v>
      </x:c>
      <x:c r="D372" s="21" t="str">
        <x:v>Alumínio cru</x:v>
      </x:c>
      <x:c r="E372" s="24" t="n">
        <x:v>34.74</x:v>
      </x:c>
      <x:c r="F372" s="34" t="n">
        <x:v>2.71669</x:v>
      </x:c>
      <x:c r="G372" s="21" t="str">
        <x:v>descricao</x:v>
      </x:c>
      <x:c r="H372" s="35" t="n">
        <x:f>IFERROR(E372/F372,"")</x:f>
        <x:v>12.78762022902871</x:v>
      </x:c>
      <x:c r="I372" s="17" t="str">
        <x:v>Precificado</x:v>
      </x:c>
    </x:row>
    <x:row r="373">
      <x:c r="A373" s="16" t="n">
        <x:v>373</x:v>
      </x:c>
      <x:c r="B373" s="21" t="str">
        <x:v>PC.000.911</x:v>
      </x:c>
      <x:c r="C373" s="57" t="str">
        <x:v>Perfil Round Box S (RC2022/alpex 6563) Preto pt (1kg.=2,64m) 6m 07/25</x:v>
      </x:c>
      <x:c r="D373" s="21" t="str">
        <x:v>Preto</x:v>
      </x:c>
      <x:c r="E373" s="24" t="n">
        <x:v>39.74</x:v>
      </x:c>
      <x:c r="F373" s="34" t="n">
        <x:v>2.64</x:v>
      </x:c>
      <x:c r="G373" s="21" t="str">
        <x:v>descricao</x:v>
      </x:c>
      <x:c r="H373" s="35" t="n">
        <x:f>IFERROR(E373/F373,"")</x:f>
        <x:v>15.053030303030303</x:v>
      </x:c>
      <x:c r="I373" s="17" t="str">
        <x:v>Precificado</x:v>
      </x:c>
    </x:row>
    <x:row r="374">
      <x:c r="A374" s="16" t="n">
        <x:v>374</x:v>
      </x:c>
      <x:c r="B374" s="21" t="str">
        <x:v>PC.000.070</x:v>
      </x:c>
      <x:c r="C374" s="57" t="str">
        <x:v>Perfil Semi Open M (A) (RC3028/PM/A.6437/ES-3937) Bege bg (A) (1kg.=1,042m) 6m PCT34,8</x:v>
      </x:c>
      <x:c r="D374" s="21" t="str">
        <x:v>Bege</x:v>
      </x:c>
      <x:c r="E374" s="24" t="n">
        <x:v>44.39</x:v>
      </x:c>
      <x:c r="F374" s="34" t="n">
        <x:v>1.042</x:v>
      </x:c>
      <x:c r="G374" s="21" t="str">
        <x:v>descricao</x:v>
      </x:c>
      <x:c r="H374" s="35" t="n">
        <x:f>IFERROR(E374/F374,"")</x:f>
        <x:v>42.60076775431862</x:v>
      </x:c>
      <x:c r="I374" s="17" t="str">
        <x:v>Precificado</x:v>
      </x:c>
    </x:row>
    <x:row r="375">
      <x:c r="A375" s="16" t="n">
        <x:v>375</x:v>
      </x:c>
      <x:c r="B375" s="21" t="str">
        <x:v>PC.000.069</x:v>
      </x:c>
      <x:c r="C375" s="57" t="str">
        <x:v>Perfil Semi Open M (RC3028/PM/A.6437/ES-3937) Bronze bz (B) (1kg.=1,042m) kg.</x:v>
      </x:c>
      <x:c r="D375" s="21" t="str">
        <x:v>Bronze</x:v>
      </x:c>
      <x:c r="E375" s="24" t="n">
        <x:v>42.94</x:v>
      </x:c>
      <x:c r="F375" s="34" t="n">
        <x:v>1.042</x:v>
      </x:c>
      <x:c r="G375" s="21" t="str">
        <x:v>descricao</x:v>
      </x:c>
      <x:c r="H375" s="35" t="n">
        <x:f>IFERROR(E375/F375,"")</x:f>
        <x:v>41.20921305182341</x:v>
      </x:c>
      <x:c r="I375" s="17" t="str">
        <x:v>Precificado</x:v>
      </x:c>
    </x:row>
    <x:row r="376">
      <x:c r="A376" s="16" t="n">
        <x:v>376</x:v>
      </x:c>
      <x:c r="B376" s="21" t="str">
        <x:v>PC.000.067</x:v>
      </x:c>
      <x:c r="C376" s="57" t="str">
        <x:v>Perfil Semi Open M (RC3028/PM/A.6437/ES-3937) Grafite gr 6m (1kg.=1,042m) 5,8m (B) PCT34,8 1/20</x:v>
      </x:c>
      <x:c r="D376" s="21" t="str">
        <x:v>Grafite</x:v>
      </x:c>
      <x:c r="E376" s="24" t="n">
        <x:v>41.980000000000004</x:v>
      </x:c>
      <x:c r="F376" s="34" t="n">
        <x:v>1.042</x:v>
      </x:c>
      <x:c r="G376" s="21" t="str">
        <x:v>descricao</x:v>
      </x:c>
      <x:c r="H376" s="35" t="n">
        <x:f>IFERROR(E376/F376,"")</x:f>
        <x:v>40.28790786948177</x:v>
      </x:c>
      <x:c r="I376" s="17" t="str">
        <x:v>Precificado</x:v>
      </x:c>
    </x:row>
    <x:row r="377">
      <x:c r="A377" s="16" t="n">
        <x:v>377</x:v>
      </x:c>
      <x:c r="B377" s="21" t="str">
        <x:v>PC.000.0113</x:v>
      </x:c>
      <x:c r="C377" s="57" t="str">
        <x:v>Perfil Semi Open M (RC3028/PM/A.6437/ES-3937) PINTAR (1kg.=1,01215m) 6m ml}</x:v>
      </x:c>
      <x:c r="D377" s="21" t="str">
        <x:v>Alumínio cru</x:v>
      </x:c>
      <x:c r="E377" s="24" t="n">
        <x:v>34.74</x:v>
      </x:c>
      <x:c r="F377" s="34" t="n">
        <x:v>1.01215</x:v>
      </x:c>
      <x:c r="G377" s="21" t="str">
        <x:v>descricao</x:v>
      </x:c>
      <x:c r="H377" s="35" t="n">
        <x:f>IFERROR(E377/F377,"")</x:f>
        <x:v>34.32297584350145</x:v>
      </x:c>
      <x:c r="I377" s="17" t="str">
        <x:v>Precificado</x:v>
      </x:c>
    </x:row>
    <x:row r="378">
      <x:c r="A378" s="16" t="n">
        <x:v>378</x:v>
      </x:c>
      <x:c r="B378" s="21" t="str">
        <x:v>PC.000.066</x:v>
      </x:c>
      <x:c r="C378" s="57" t="str">
        <x:v>Perfil Semi Open M (RC3028/PM/A.6437/ESAF-3937) Anodizado 6m (1kg.=1,01m) (A) PCT34,8 01/20 q.a.ss cinza</x:v>
      </x:c>
      <x:c r="D378" s="21" t="str">
        <x:v>Cinza</x:v>
      </x:c>
      <x:c r="E378" s="24" t="n">
        <x:v>42.61</x:v>
      </x:c>
      <x:c r="F378" s="34" t="n">
        <x:v>1.01</x:v>
      </x:c>
      <x:c r="G378" s="21" t="str">
        <x:v>descricao</x:v>
      </x:c>
      <x:c r="H378" s="35" t="n">
        <x:f>IFERROR(E378/F378,"")</x:f>
        <x:v>42.18811881188119</x:v>
      </x:c>
      <x:c r="I378" s="17" t="str">
        <x:v>Precificado</x:v>
      </x:c>
    </x:row>
    <x:row r="379">
      <x:c r="A379" s="16" t="n">
        <x:v>379</x:v>
      </x:c>
      <x:c r="B379" s="21" t="str">
        <x:v>PC.000.071</x:v>
      </x:c>
      <x:c r="C379" s="57" t="str">
        <x:v>Perfil Semi Open M (RC3028/PM/A.6437/ESAF-3937) Branco bco (A) (1kg.=,1,01215m)5,8m/6m PCT34,8</x:v>
      </x:c>
      <x:c r="D379" s="21" t="str">
        <x:v>Branco</x:v>
      </x:c>
      <x:c r="E379" s="24" t="n">
        <x:v>40.57</x:v>
      </x:c>
      <x:c r="F379" s="34" t="n">
        <x:v>1.01215</x:v>
      </x:c>
      <x:c r="G379" s="21" t="str">
        <x:v>descricao</x:v>
      </x:c>
      <x:c r="H379" s="35" t="n">
        <x:f>IFERROR(E379/F379,"")</x:f>
        <x:v>40.08299165143506</x:v>
      </x:c>
      <x:c r="I379" s="17" t="str">
        <x:v>Precificado</x:v>
      </x:c>
    </x:row>
    <x:row r="380">
      <x:c r="A380" s="16" t="n">
        <x:v>380</x:v>
      </x:c>
      <x:c r="B380" s="21" t="str">
        <x:v>PC.000.066.1</x:v>
      </x:c>
      <x:c r="C380" s="57" t="str">
        <x:v>Perfil Semi Open M (RC3028/PM/A.6437/ESAF-3937) Cinza cz 10/24 6m cm4,5an (A) (1kg.=1,01215m)</x:v>
      </x:c>
      <x:c r="D380" s="21" t="str">
        <x:v>Cinza</x:v>
      </x:c>
      <x:c r="E380" s="24" t="n">
        <x:v>42.61</x:v>
      </x:c>
      <x:c r="F380" s="34" t="n">
        <x:v>1.01215</x:v>
      </x:c>
      <x:c r="G380" s="21" t="str">
        <x:v>descricao</x:v>
      </x:c>
      <x:c r="H380" s="35" t="n">
        <x:f>IFERROR(E380/F380,"")</x:f>
        <x:v>42.098503186286614</x:v>
      </x:c>
      <x:c r="I380" s="17" t="str">
        <x:v>Precificado</x:v>
      </x:c>
    </x:row>
    <x:row r="381">
      <x:c r="A381" s="16" t="n">
        <x:v>381</x:v>
      </x:c>
      <x:c r="B381" s="21" t="str">
        <x:v>PC.000.068</x:v>
      </x:c>
      <x:c r="C381" s="57" t="str">
        <x:v>Perfil Semi Open M (RC3028/PM/A.6437/ESAF-3937) Preto pt (A) (1kg.=1,01215m) 5,8m/6m PCT34,8 1/20</x:v>
      </x:c>
      <x:c r="D381" s="21" t="str">
        <x:v>Preto</x:v>
      </x:c>
      <x:c r="E381" s="24" t="n">
        <x:v>39.74</x:v>
      </x:c>
      <x:c r="F381" s="34" t="n">
        <x:v>1.01215</x:v>
      </x:c>
      <x:c r="G381" s="21" t="str">
        <x:v>descricao</x:v>
      </x:c>
      <x:c r="H381" s="35" t="n">
        <x:f>IFERROR(E381/F381,"")</x:f>
        <x:v>39.262955095588595</x:v>
      </x:c>
      <x:c r="I381" s="17" t="str">
        <x:v>Precificado</x:v>
      </x:c>
    </x:row>
    <x:row r="382">
      <x:c r="A382" s="16" t="n">
        <x:v>382</x:v>
      </x:c>
      <x:c r="B382" s="21" t="str">
        <x:v>PC.000.0119</x:v>
      </x:c>
      <x:c r="C382" s="57" t="str">
        <x:v>Perfil Semi Open S (RC2020/alpex6436/ES-3936) PINTAR (1kg.=1,43885m) 6m ml}a</x:v>
      </x:c>
      <x:c r="D382" s="21" t="str">
        <x:v>Alumínio cru</x:v>
      </x:c>
      <x:c r="E382" s="24" t="n">
        <x:v>34.74</x:v>
      </x:c>
      <x:c r="F382" s="34" t="n">
        <x:v>1.43885</x:v>
      </x:c>
      <x:c r="G382" s="21" t="str">
        <x:v>descricao</x:v>
      </x:c>
      <x:c r="H382" s="35" t="n">
        <x:f>IFERROR(E382/F382,"")</x:f>
        <x:v>24.144281891788584</x:v>
      </x:c>
      <x:c r="I382" s="17" t="str">
        <x:v>Precificado</x:v>
      </x:c>
    </x:row>
    <x:row r="383">
      <x:c r="A383" s="16" t="n">
        <x:v>383</x:v>
      </x:c>
      <x:c r="B383" s="21" t="str">
        <x:v>PC.000.065</x:v>
      </x:c>
      <x:c r="C383" s="57" t="str">
        <x:v>Perfil Semi Open S (RC2020/alpex6436/ESAF-3936) Branco bco (1kg.=1,439m) (A) 5,8m/6m</x:v>
      </x:c>
      <x:c r="D383" s="21" t="str">
        <x:v>Branco</x:v>
      </x:c>
      <x:c r="E383" s="24" t="n">
        <x:v>40.57</x:v>
      </x:c>
      <x:c r="F383" s="34" t="n">
        <x:v>1.439</x:v>
      </x:c>
      <x:c r="G383" s="21" t="str">
        <x:v>descricao</x:v>
      </x:c>
      <x:c r="H383" s="35" t="n">
        <x:f>IFERROR(E383/F383,"")</x:f>
        <x:v>28.193189715079917</x:v>
      </x:c>
      <x:c r="I383" s="17" t="str">
        <x:v>Precificado</x:v>
      </x:c>
    </x:row>
    <x:row r="384">
      <x:c r="A384" s="16" t="n">
        <x:v>384</x:v>
      </x:c>
      <x:c r="B384" s="21" t="str">
        <x:v>PC.000.064</x:v>
      </x:c>
      <x:c r="C384" s="57" t="str">
        <x:v>Perfil Semi Open S (RC2020/PMXX/alpex6436/ES-3936) Bege bg (A) (1kg.=1,543m) kg. 5,8m/6m PCT46,4m</x:v>
      </x:c>
      <x:c r="D384" s="21" t="str">
        <x:v>Bege</x:v>
      </x:c>
      <x:c r="E384" s="24" t="n">
        <x:v>44.39</x:v>
      </x:c>
      <x:c r="F384" s="34" t="n">
        <x:v>1.543</x:v>
      </x:c>
      <x:c r="G384" s="21" t="str">
        <x:v>descricao</x:v>
      </x:c>
      <x:c r="H384" s="35" t="n">
        <x:f>IFERROR(E384/F384,"")</x:f>
        <x:v>28.76863253402463</x:v>
      </x:c>
      <x:c r="I384" s="17" t="str">
        <x:v>Precificado</x:v>
      </x:c>
    </x:row>
    <x:row r="385">
      <x:c r="A385" s="16" t="n">
        <x:v>385</x:v>
      </x:c>
      <x:c r="B385" s="21" t="str">
        <x:v>PC.000.063</x:v>
      </x:c>
      <x:c r="C385" s="57" t="str">
        <x:v>Perfil Semi Open S (RC2020/PMXX/alpex6436/ES-3936) Bronze(1kg.=1,543m) 5,8m/6m PCT46,4</x:v>
      </x:c>
      <x:c r="D385" s="21" t="str">
        <x:v>Bronze</x:v>
      </x:c>
      <x:c r="E385" s="24" t="n">
        <x:v>42.94</x:v>
      </x:c>
      <x:c r="F385" s="34" t="n">
        <x:v>1.543</x:v>
      </x:c>
      <x:c r="G385" s="21" t="str">
        <x:v>descricao</x:v>
      </x:c>
      <x:c r="H385" s="35" t="n">
        <x:f>IFERROR(E385/F385,"")</x:f>
        <x:v>27.828904731043423</x:v>
      </x:c>
      <x:c r="I385" s="17" t="str">
        <x:v>Precificado</x:v>
      </x:c>
    </x:row>
    <x:row r="386">
      <x:c r="A386" s="16" t="n">
        <x:v>386</x:v>
      </x:c>
      <x:c r="B386" s="21" t="str">
        <x:v>PC.000.061</x:v>
      </x:c>
      <x:c r="C386" s="57" t="str">
        <x:v>Perfil Semi Open S (RC2020/PMXX/alpex6436/ES-3936) Grafite gr (1kg.=1,543m) 5,8m/6m PCT46,4</x:v>
      </x:c>
      <x:c r="D386" s="21" t="str">
        <x:v>Grafite</x:v>
      </x:c>
      <x:c r="E386" s="24" t="n">
        <x:v>41.980000000000004</x:v>
      </x:c>
      <x:c r="F386" s="34" t="n">
        <x:v>1.543</x:v>
      </x:c>
      <x:c r="G386" s="21" t="str">
        <x:v>descricao</x:v>
      </x:c>
      <x:c r="H386" s="35" t="n">
        <x:f>IFERROR(E386/F386,"")</x:f>
        <x:v>27.20674011665587</x:v>
      </x:c>
      <x:c r="I386" s="17" t="str">
        <x:v>Precificado</x:v>
      </x:c>
    </x:row>
    <x:row r="387">
      <x:c r="A387" s="16" t="n">
        <x:v>387</x:v>
      </x:c>
      <x:c r="B387" s="21" t="str">
        <x:v>PC.000.060</x:v>
      </x:c>
      <x:c r="C387" s="57" t="str">
        <x:v>Perfil Semi Open S (RC2020/PMXX/alpex6436/ESAF-3936) Anodizado an (A) (1kg.=1,439m)6m q.a.ss cinza</x:v>
      </x:c>
      <x:c r="D387" s="21" t="str">
        <x:v>Cinza</x:v>
      </x:c>
      <x:c r="E387" s="24" t="n">
        <x:v>42.61</x:v>
      </x:c>
      <x:c r="F387" s="34" t="n">
        <x:v>1.439</x:v>
      </x:c>
      <x:c r="G387" s="21" t="str">
        <x:v>descricao</x:v>
      </x:c>
      <x:c r="H387" s="35" t="n">
        <x:f>IFERROR(E387/F387,"")</x:f>
        <x:v>29.61084086170952</x:v>
      </x:c>
      <x:c r="I387" s="17" t="str">
        <x:v>Precificado</x:v>
      </x:c>
    </x:row>
    <x:row r="388">
      <x:c r="A388" s="16" t="n">
        <x:v>388</x:v>
      </x:c>
      <x:c r="B388" s="21" t="str">
        <x:v>PC.000.859</x:v>
      </x:c>
      <x:c r="C388" s="57" t="str">
        <x:v>Perfil Semi Open S (RC2020/PMXX/alpex6436/ESAF-3936) Cinza (B) (1kg.=1,543m)6m</x:v>
      </x:c>
      <x:c r="D388" s="21" t="str">
        <x:v>Cinza</x:v>
      </x:c>
      <x:c r="E388" s="24" t="n">
        <x:v>42.61</x:v>
      </x:c>
      <x:c r="F388" s="34" t="n">
        <x:v>1.543</x:v>
      </x:c>
      <x:c r="G388" s="21" t="str">
        <x:v>descricao</x:v>
      </x:c>
      <x:c r="H388" s="35" t="n">
        <x:f>IFERROR(E388/F388,"")</x:f>
        <x:v>27.6150356448477</x:v>
      </x:c>
      <x:c r="I388" s="17" t="str">
        <x:v>Precificado</x:v>
      </x:c>
    </x:row>
    <x:row r="389">
      <x:c r="A389" s="16" t="n">
        <x:v>389</x:v>
      </x:c>
      <x:c r="B389" s="21" t="str">
        <x:v>PC.000.062</x:v>
      </x:c>
      <x:c r="C389" s="57" t="str">
        <x:v>Perfil Semi Open S (RC2020/PMXX/alpex6436/ESAF-3936) Preto pt  (B) (1kg.=1,439m) 6m</x:v>
      </x:c>
      <x:c r="D389" s="21" t="str">
        <x:v>Preto</x:v>
      </x:c>
      <x:c r="E389" s="24" t="n">
        <x:v>39.74</x:v>
      </x:c>
      <x:c r="F389" s="34" t="n">
        <x:v>1.439</x:v>
      </x:c>
      <x:c r="G389" s="21" t="str">
        <x:v>descricao</x:v>
      </x:c>
      <x:c r="H389" s="35" t="n">
        <x:f>IFERROR(E389/F389,"")</x:f>
        <x:v>27.616400277970815</x:v>
      </x:c>
      <x:c r="I389" s="17" t="str">
        <x:v>Precificado</x:v>
      </x:c>
    </x:row>
    <x:row r="390">
      <x:c r="A390" s="16" t="n">
        <x:v>390</x:v>
      </x:c>
      <x:c r="B390" s="21" t="str">
        <x:v>PC.000.0137</x:v>
      </x:c>
      <x:c r="C390" s="57" t="str">
        <x:v>Perfil Square Box L (RC4016/cat-001 nt) PINTAR 6m {1kg.=0,812030075ml}a</x:v>
      </x:c>
      <x:c r="D390" s="21" t="str">
        <x:v>Alumínio cru</x:v>
      </x:c>
      <x:c r="E390" s="24" t="n">
        <x:v>34.74</x:v>
      </x:c>
      <x:c r="F390" s="34" t="n">
        <x:v>0.812030075</x:v>
      </x:c>
      <x:c r="G390" s="21" t="str">
        <x:v>descricao</x:v>
      </x:c>
      <x:c r="H390" s="35" t="n">
        <x:f>IFERROR(E390/F390,"")</x:f>
        <x:v>42.781666676569834</x:v>
      </x:c>
      <x:c r="I390" s="17" t="str">
        <x:v>Precificado</x:v>
      </x:c>
    </x:row>
    <x:row r="391">
      <x:c r="A391" s="16" t="n">
        <x:v>391</x:v>
      </x:c>
      <x:c r="B391" s="21" t="str">
        <x:v>PC.000.019</x:v>
      </x:c>
      <x:c r="C391" s="57" t="str">
        <x:v>Perfil Square Box L (RC4016/cat-001nt) Branco bco 6m (A) (1kg.=0,827m)</x:v>
      </x:c>
      <x:c r="D391" s="21" t="str">
        <x:v>Branco</x:v>
      </x:c>
      <x:c r="E391" s="24" t="n">
        <x:v>40.57</x:v>
      </x:c>
      <x:c r="F391" s="34" t="n">
        <x:v>0.827</x:v>
      </x:c>
      <x:c r="G391" s="21" t="str">
        <x:v>descricao</x:v>
      </x:c>
      <x:c r="H391" s="35" t="n">
        <x:f>IFERROR(E391/F391,"")</x:f>
        <x:v>49.056831922611856</x:v>
      </x:c>
      <x:c r="I391" s="17" t="str">
        <x:v>Precificado</x:v>
      </x:c>
    </x:row>
    <x:row r="392">
      <x:c r="A392" s="16" t="n">
        <x:v>392</x:v>
      </x:c>
      <x:c r="B392" s="21" t="str">
        <x:v>PC.000.871</x:v>
      </x:c>
      <x:c r="C392" s="57" t="str">
        <x:v>Perfil Square Box L (RC4016/cat-001nt) Cinza (1kg.=0,827m) 6m</x:v>
      </x:c>
      <x:c r="D392" s="21" t="str">
        <x:v>Cinza</x:v>
      </x:c>
      <x:c r="E392" s="24" t="n">
        <x:v>42.61</x:v>
      </x:c>
      <x:c r="F392" s="34" t="n">
        <x:v>0.827</x:v>
      </x:c>
      <x:c r="G392" s="21" t="str">
        <x:v>descricao</x:v>
      </x:c>
      <x:c r="H392" s="35" t="n">
        <x:f>IFERROR(E392/F392,"")</x:f>
        <x:v>51.52357920193471</x:v>
      </x:c>
      <x:c r="I392" s="17" t="str">
        <x:v>Precificado</x:v>
      </x:c>
    </x:row>
    <x:row r="393">
      <x:c r="A393" s="16" t="n">
        <x:v>393</x:v>
      </x:c>
      <x:c r="B393" s="21" t="str">
        <x:v>PC.000.0135</x:v>
      </x:c>
      <x:c r="C393" s="57" t="str">
        <x:v>Perfil Square Box M (RC3029/ES-4103) PINTAR 6m (1kg.=1,43m)  ml}a</x:v>
      </x:c>
      <x:c r="D393" s="21" t="str">
        <x:v>Alumínio cru</x:v>
      </x:c>
      <x:c r="E393" s="24" t="n">
        <x:v>34.74</x:v>
      </x:c>
      <x:c r="F393" s="34" t="n">
        <x:v>1.43</x:v>
      </x:c>
      <x:c r="G393" s="21" t="str">
        <x:v>descricao</x:v>
      </x:c>
      <x:c r="H393" s="35" t="n">
        <x:f>IFERROR(E393/F393,"")</x:f>
        <x:v>24.293706293706297</x:v>
      </x:c>
      <x:c r="I393" s="17" t="str">
        <x:v>Precificado</x:v>
      </x:c>
    </x:row>
    <x:row r="394">
      <x:c r="A394" s="16" t="n">
        <x:v>394</x:v>
      </x:c>
      <x:c r="B394" s="21" t="str">
        <x:v>PC.000.022</x:v>
      </x:c>
      <x:c r="C394" s="57" t="str">
        <x:v>Perfil Square Box M (RC3029/ESAF-4103) Anodizado an (B) (1kg.=1,43m) 1/25 PCT6m q.a.ss cinza</x:v>
      </x:c>
      <x:c r="D394" s="21" t="str">
        <x:v>Cinza</x:v>
      </x:c>
      <x:c r="E394" s="24" t="n">
        <x:v>42.61</x:v>
      </x:c>
      <x:c r="F394" s="34" t="n">
        <x:v>1.43</x:v>
      </x:c>
      <x:c r="G394" s="21" t="str">
        <x:v>descricao</x:v>
      </x:c>
      <x:c r="H394" s="35" t="n">
        <x:f>IFERROR(E394/F394,"")</x:f>
        <x:v>29.797202797202797</x:v>
      </x:c>
      <x:c r="I394" s="17" t="str">
        <x:v>Precificado</x:v>
      </x:c>
    </x:row>
    <x:row r="395">
      <x:c r="A395" s="16" t="n">
        <x:v>395</x:v>
      </x:c>
      <x:c r="B395" s="21" t="str">
        <x:v>PC.000.845</x:v>
      </x:c>
      <x:c r="C395" s="57" t="str">
        <x:v>Perfil Square Box M (RC3029/ESAF-4103) Branco 1/25 9003 STARCOLOR (B) (1kg.=1,43m) PCT6m q.a.ss PC.000.023</x:v>
      </x:c>
      <x:c r="D395" s="21" t="str">
        <x:v>Branco</x:v>
      </x:c>
      <x:c r="E395" s="24" t="n">
        <x:v>40.57</x:v>
      </x:c>
      <x:c r="F395" s="34" t="n">
        <x:v>1.43</x:v>
      </x:c>
      <x:c r="G395" s="21" t="str">
        <x:v>descricao</x:v>
      </x:c>
      <x:c r="H395" s="35" t="n">
        <x:f>IFERROR(E395/F395,"")</x:f>
        <x:v>28.370629370629374</x:v>
      </x:c>
      <x:c r="I395" s="17" t="str">
        <x:v>Precificado</x:v>
      </x:c>
    </x:row>
    <x:row r="396">
      <x:c r="A396" s="16" t="n">
        <x:v>396</x:v>
      </x:c>
      <x:c r="B396" s="21" t="str">
        <x:v>PC.000.023</x:v>
      </x:c>
      <x:c r="C396" s="57" t="str">
        <x:v>Perfil Square Box M (RC3029/ESAF-4103) Branco bco COULISSE (1kg.=1,43m) 1/25 (B) PCT6m</x:v>
      </x:c>
      <x:c r="D396" s="21" t="str">
        <x:v>Branco</x:v>
      </x:c>
      <x:c r="E396" s="24" t="n">
        <x:v>40.57</x:v>
      </x:c>
      <x:c r="F396" s="34" t="n">
        <x:v>1.43</x:v>
      </x:c>
      <x:c r="G396" s="21" t="str">
        <x:v>descricao</x:v>
      </x:c>
      <x:c r="H396" s="35" t="n">
        <x:f>IFERROR(E396/F396,"")</x:f>
        <x:v>28.370629370629374</x:v>
      </x:c>
      <x:c r="I396" s="17" t="str">
        <x:v>Precificado</x:v>
      </x:c>
    </x:row>
    <x:row r="397">
      <x:c r="A397" s="16" t="n">
        <x:v>397</x:v>
      </x:c>
      <x:c r="B397" s="21" t="str">
        <x:v>PC.000.872</x:v>
      </x:c>
      <x:c r="C397" s="57" t="str">
        <x:v>Perfil Square Box M (RC3029/ESAF-4103) Cinza (1kg.=1,272m) PCT6m</x:v>
      </x:c>
      <x:c r="D397" s="21" t="str">
        <x:v>Cinza</x:v>
      </x:c>
      <x:c r="E397" s="24" t="n">
        <x:v>42.61</x:v>
      </x:c>
      <x:c r="F397" s="34" t="n">
        <x:v>1.272</x:v>
      </x:c>
      <x:c r="G397" s="21" t="str">
        <x:v>descricao</x:v>
      </x:c>
      <x:c r="H397" s="35" t="n">
        <x:f>IFERROR(E397/F397,"")</x:f>
        <x:v>33.49842767295598</x:v>
      </x:c>
      <x:c r="I397" s="17" t="str">
        <x:v>Precificado</x:v>
      </x:c>
    </x:row>
    <x:row r="398">
      <x:c r="A398" s="16" t="n">
        <x:v>398</x:v>
      </x:c>
      <x:c r="B398" s="21" t="str">
        <x:v>PC.000.908</x:v>
      </x:c>
      <x:c r="C398" s="57" t="str">
        <x:v>Perfil Square Box M (RC3029/ESAF-4103) Preto pt 6m (1kg.=1,43m) 07/25</x:v>
      </x:c>
      <x:c r="D398" s="21" t="str">
        <x:v>Preto</x:v>
      </x:c>
      <x:c r="E398" s="24" t="n">
        <x:v>39.74</x:v>
      </x:c>
      <x:c r="F398" s="34" t="n">
        <x:v>1.43</x:v>
      </x:c>
      <x:c r="G398" s="21" t="str">
        <x:v>descricao</x:v>
      </x:c>
      <x:c r="H398" s="35" t="n">
        <x:f>IFERROR(E398/F398,"")</x:f>
        <x:v>27.790209790209794</x:v>
      </x:c>
      <x:c r="I398" s="17" t="str">
        <x:v>Precificado</x:v>
      </x:c>
    </x:row>
    <x:row r="399">
      <x:c r="A399" s="16" t="n">
        <x:v>399</x:v>
      </x:c>
      <x:c r="B399" s="21" t="str">
        <x:v>PC.000.0136</x:v>
      </x:c>
      <x:c r="C399" s="57" t="str">
        <x:v>Perfil Square Box S (RC2021/ES-4104) PINTAR 6m (1kg.=2,10m) ml}a F.N.P</x:v>
      </x:c>
      <x:c r="D399" s="21" t="str">
        <x:v>Alumínio cru</x:v>
      </x:c>
      <x:c r="E399" s="24" t="n">
        <x:v>34.74</x:v>
      </x:c>
      <x:c r="F399" s="34" t="n">
        <x:v>2.1</x:v>
      </x:c>
      <x:c r="G399" s="21" t="str">
        <x:v>descricao</x:v>
      </x:c>
      <x:c r="H399" s="35" t="n">
        <x:f>IFERROR(E399/F399,"")</x:f>
        <x:v>16.542857142857144</x:v>
      </x:c>
      <x:c r="I399" s="17" t="str">
        <x:v>Precificado</x:v>
      </x:c>
    </x:row>
    <x:row r="400">
      <x:c r="A400" s="16" t="n">
        <x:v>400</x:v>
      </x:c>
      <x:c r="B400" s="21" t="str">
        <x:v>PC.000.026</x:v>
      </x:c>
      <x:c r="C400" s="57" t="str">
        <x:v>Perfil Square Box S (RC2021/ESAF-4104) Anodizado an PCT6 1/25 (1kg.=2,10m) q.a.ss cinza</x:v>
      </x:c>
      <x:c r="D400" s="21" t="str">
        <x:v>Cinza</x:v>
      </x:c>
      <x:c r="E400" s="24" t="n">
        <x:v>42.61</x:v>
      </x:c>
      <x:c r="F400" s="34" t="n">
        <x:v>2.1</x:v>
      </x:c>
      <x:c r="G400" s="21" t="str">
        <x:v>descricao</x:v>
      </x:c>
      <x:c r="H400" s="35" t="n">
        <x:f>IFERROR(E400/F400,"")</x:f>
        <x:v>20.290476190476188</x:v>
      </x:c>
      <x:c r="I400" s="17" t="str">
        <x:v>Precificado</x:v>
      </x:c>
    </x:row>
    <x:row r="401">
      <x:c r="A401" s="16" t="n">
        <x:v>401</x:v>
      </x:c>
      <x:c r="B401" s="21" t="str">
        <x:v>PC.000.844</x:v>
      </x:c>
      <x:c r="C401" s="57" t="str">
        <x:v>Perfil Square Box S (RC2021/ESAF-4104) Branco 1/25 9003 STARCOLOR PCT6m kg. q.a.ss PC.000.027</x:v>
      </x:c>
      <x:c r="D401" s="21" t="str">
        <x:v>Branco</x:v>
      </x:c>
      <x:c r="E401" s="24" t="n">
        <x:v>40.57</x:v>
      </x:c>
      <x:c r="F401" s="34" t="n">
        <x:v>2.1</x:v>
      </x:c>
      <x:c r="G401" s="21" t="str">
        <x:v>perfil-equivalente</x:v>
      </x:c>
      <x:c r="H401" s="35" t="n">
        <x:f>IFERROR(E401/F401,"")</x:f>
        <x:v>19.31904761904762</x:v>
      </x:c>
      <x:c r="I401" s="17" t="str">
        <x:v>Precificado</x:v>
      </x:c>
    </x:row>
    <x:row r="402">
      <x:c r="A402" s="16" t="n">
        <x:v>402</x:v>
      </x:c>
      <x:c r="B402" s="21" t="str">
        <x:v>PC.000.027</x:v>
      </x:c>
      <x:c r="C402" s="57" t="str">
        <x:v>Perfil Square Box S (RC2021/ESAF-4104) Branco bco COULISSE PCT6m 1/25 (1kg.=2,10m)</x:v>
      </x:c>
      <x:c r="D402" s="21" t="str">
        <x:v>Branco</x:v>
      </x:c>
      <x:c r="E402" s="24" t="n">
        <x:v>40.57</x:v>
      </x:c>
      <x:c r="F402" s="34" t="n">
        <x:v>2.1</x:v>
      </x:c>
      <x:c r="G402" s="21" t="str">
        <x:v>descricao</x:v>
      </x:c>
      <x:c r="H402" s="35" t="n">
        <x:f>IFERROR(E402/F402,"")</x:f>
        <x:v>19.31904761904762</x:v>
      </x:c>
      <x:c r="I402" s="17" t="str">
        <x:v>Precificado</x:v>
      </x:c>
    </x:row>
    <x:row r="403">
      <x:c r="A403" s="16" t="n">
        <x:v>403</x:v>
      </x:c>
      <x:c r="B403" s="21" t="str">
        <x:v>PC.000.873</x:v>
      </x:c>
      <x:c r="C403" s="57" t="str">
        <x:v>Perfil Square Box S (RC2021/ESAF-4104) Cinza PCT6m (1kg.=2,10m)F.N.P</x:v>
      </x:c>
      <x:c r="D403" s="21" t="str">
        <x:v>Cinza</x:v>
      </x:c>
      <x:c r="E403" s="24" t="n">
        <x:v>42.61</x:v>
      </x:c>
      <x:c r="F403" s="34" t="n">
        <x:v>2.1</x:v>
      </x:c>
      <x:c r="G403" s="21" t="str">
        <x:v>descricao</x:v>
      </x:c>
      <x:c r="H403" s="35" t="n">
        <x:f>IFERROR(E403/F403,"")</x:f>
        <x:v>20.290476190476188</x:v>
      </x:c>
      <x:c r="I403" s="17" t="str">
        <x:v>Precificado</x:v>
      </x:c>
    </x:row>
    <x:row r="404">
      <x:c r="A404" s="16" t="n">
        <x:v>404</x:v>
      </x:c>
      <x:c r="B404" s="21" t="str">
        <x:v>PC.000.909</x:v>
      </x:c>
      <x:c r="C404" s="57" t="str">
        <x:v>Perfil Square Box S (RC2021/ESAF-4104) Preto pt 07/25 6m (1kg.=2,10m)</x:v>
      </x:c>
      <x:c r="D404" s="21" t="str">
        <x:v>Preto</x:v>
      </x:c>
      <x:c r="E404" s="24" t="n">
        <x:v>39.74</x:v>
      </x:c>
      <x:c r="F404" s="34" t="n">
        <x:v>2.1</x:v>
      </x:c>
      <x:c r="G404" s="21" t="str">
        <x:v>descricao</x:v>
      </x:c>
      <x:c r="H404" s="35" t="n">
        <x:f>IFERROR(E404/F404,"")</x:f>
        <x:v>18.923809523809524</x:v>
      </x:c>
      <x:c r="I404" s="17" t="str">
        <x:v>Precificado</x:v>
      </x:c>
    </x:row>
    <x:row r="405">
      <x:c r="A405" s="16" t="n">
        <x:v>405</x:v>
      </x:c>
      <x:c r="B405" s="21" t="str">
        <x:v>PL500030</x:v>
      </x:c>
      <x:c r="C405" s="57" t="str">
        <x:v>Perfil Superior Sky Windows (alpex6532) Bege Bg (1Kg.=0,699ml) PCT6M q.a.ss ES-4101</x:v>
      </x:c>
      <x:c r="D405" s="21" t="str">
        <x:v>Bege</x:v>
      </x:c>
      <x:c r="E405" s="24" t="n">
        <x:v>44.39</x:v>
      </x:c>
      <x:c r="F405" s="34" t="n">
        <x:v>0.699</x:v>
      </x:c>
      <x:c r="G405" s="21" t="str">
        <x:v>descricao</x:v>
      </x:c>
      <x:c r="H405" s="35" t="n">
        <x:f>IFERROR(E405/F405,"")</x:f>
        <x:v>63.50500715307583</x:v>
      </x:c>
      <x:c r="I405" s="17" t="str">
        <x:v>Precificado</x:v>
      </x:c>
    </x:row>
    <x:row r="406">
      <x:c r="A406" s="16" t="n">
        <x:v>406</x:v>
      </x:c>
      <x:c r="B406" s="21" t="str">
        <x:v>PL500027</x:v>
      </x:c>
      <x:c r="C406" s="57" t="str">
        <x:v>Perfil Superior Sky Windows (alpex6532) Preto pt {1Kg.=0,699ml} (A) PCT6M q.a.ss ES-4101</x:v>
      </x:c>
      <x:c r="D406" s="21" t="str">
        <x:v>Preto</x:v>
      </x:c>
      <x:c r="E406" s="24" t="n">
        <x:v>39.74</x:v>
      </x:c>
      <x:c r="F406" s="34" t="n">
        <x:v>0.699</x:v>
      </x:c>
      <x:c r="G406" s="21" t="str">
        <x:v>descricao</x:v>
      </x:c>
      <x:c r="H406" s="35" t="n">
        <x:f>IFERROR(E406/F406,"")</x:f>
        <x:v>56.85264663805437</x:v>
      </x:c>
      <x:c r="I406" s="17" t="str">
        <x:v>Precificado</x:v>
      </x:c>
    </x:row>
    <x:row r="407">
      <x:c r="A407" s="16" t="n">
        <x:v>407</x:v>
      </x:c>
      <x:c r="B407" s="21" t="str">
        <x:v>PL500026</x:v>
      </x:c>
      <x:c r="C407" s="57" t="str">
        <x:v>Perfil Superior Sky Windows (novax5848/alpex6532) Bronze bz (1Kg.=0,699ml) PCT6M q.a.ss ES-4101</x:v>
      </x:c>
      <x:c r="D407" s="21" t="str">
        <x:v>Bronze</x:v>
      </x:c>
      <x:c r="E407" s="24" t="n">
        <x:v>42.94</x:v>
      </x:c>
      <x:c r="F407" s="34" t="n">
        <x:v>0.699</x:v>
      </x:c>
      <x:c r="G407" s="21" t="str">
        <x:v>descricao</x:v>
      </x:c>
      <x:c r="H407" s="35" t="n">
        <x:f>IFERROR(E407/F407,"")</x:f>
        <x:v>61.430615164520745</x:v>
      </x:c>
      <x:c r="I407" s="17" t="str">
        <x:v>Precificado</x:v>
      </x:c>
    </x:row>
    <x:row r="408">
      <x:c r="A408" s="16" t="n">
        <x:v>408</x:v>
      </x:c>
      <x:c r="B408" s="21" t="str">
        <x:v>PS.000.478</x:v>
      </x:c>
      <x:c r="C408" s="57" t="str">
        <x:v>Perfil Sust.Cx Rollo ProMax Pintar 6,00m(4e7m) (TMR4187-6 UX-0101) (1kg.=0,597ml) ml}a toldoFORA DE LINHA LARG</x:v>
      </x:c>
      <x:c r="D408" s="21" t="str">
        <x:v>Alumínio cru</x:v>
      </x:c>
      <x:c r="E408" s="24" t="n">
        <x:v>34.74</x:v>
      </x:c>
      <x:c r="F408" s="34" t="n">
        <x:v>0.597</x:v>
      </x:c>
      <x:c r="G408" s="21" t="str">
        <x:v>descricao</x:v>
      </x:c>
      <x:c r="H408" s="35" t="n">
        <x:f>IFERROR(E408/F408,"")</x:f>
        <x:v>58.19095477386935</x:v>
      </x:c>
      <x:c r="I408" s="17" t="str">
        <x:v>Precificado</x:v>
      </x:c>
    </x:row>
    <x:row r="409">
      <x:c r="A409" s="16" t="n">
        <x:v>409</x:v>
      </x:c>
      <x:c r="B409" s="21" t="str">
        <x:v>PS.000.601</x:v>
      </x:c>
      <x:c r="C409" s="57" t="str">
        <x:v>Perfil Teto Proteção 210 mm Branco 6,00m kg. (toldo.) testes ação FORA DE LINHA</x:v>
      </x:c>
      <x:c r="D409" s="21" t="str">
        <x:v>Branco</x:v>
      </x:c>
      <x:c r="E409" s="24" t="n">
        <x:v>40.57</x:v>
      </x:c>
      <x:c r="F409" s="34"/>
      <x:c r="G409" s="21" t="str">
        <x:v>sem-fator</x:v>
      </x:c>
      <x:c r="H409" s="35" t="str">
        <x:f>IFERROR(E409/F409,"")</x:f>
      </x:c>
      <x:c r="I409" s="17" t="str">
        <x:v>Pendente</x:v>
      </x:c>
    </x:row>
    <x:row r="410">
      <x:c r="A410" s="16" t="n">
        <x:v>410</x:v>
      </x:c>
      <x:c r="B410" s="21" t="str">
        <x:v>PS.000.602</x:v>
      </x:c>
      <x:c r="C410" s="57" t="str">
        <x:v>Perfil Teto Proteção 210 mm Preto 6,00m kg. (toldo.) testes açãoFORA DE LINHA</x:v>
      </x:c>
      <x:c r="D410" s="21" t="str">
        <x:v>Preto</x:v>
      </x:c>
      <x:c r="E410" s="24" t="n">
        <x:v>39.74</x:v>
      </x:c>
      <x:c r="F410" s="34"/>
      <x:c r="G410" s="21" t="str">
        <x:v>sem-fator</x:v>
      </x:c>
      <x:c r="H410" s="35" t="str">
        <x:f>IFERROR(E410/F410,"")</x:f>
      </x:c>
      <x:c r="I410" s="17" t="str">
        <x:v>Pendente</x:v>
      </x:c>
    </x:row>
    <x:row r="411">
      <x:c r="A411" s="16" t="n">
        <x:v>411</x:v>
      </x:c>
      <x:c r="B411" s="21" t="str">
        <x:v>PS.000.350.1</x:v>
      </x:c>
      <x:c r="C411" s="57" t="str">
        <x:v>Perfil Toldo Barra Frontal100 .Pintar 5,00m 34995050 (1kg.=0,766m) ml}a  Pct20f )f? nacio.?F1286</x:v>
      </x:c>
      <x:c r="D411" s="21" t="str">
        <x:v>Alumínio cru</x:v>
      </x:c>
      <x:c r="E411" s="24" t="n">
        <x:v>34.74</x:v>
      </x:c>
      <x:c r="F411" s="34" t="n">
        <x:v>0.766</x:v>
      </x:c>
      <x:c r="G411" s="21" t="str">
        <x:v>descricao</x:v>
      </x:c>
      <x:c r="H411" s="35" t="n">
        <x:f>IFERROR(E411/F411,"")</x:f>
        <x:v>45.35248041775457</x:v>
      </x:c>
      <x:c r="I411" s="17" t="str">
        <x:v>Precificado</x:v>
      </x:c>
    </x:row>
    <x:row r="412">
      <x:c r="A412" s="16" t="n">
        <x:v>412</x:v>
      </x:c>
      <x:c r="B412" s="21" t="str">
        <x:v>PS.000.068.1</x:v>
      </x:c>
      <x:c r="C412" s="57" t="str">
        <x:v>Perfil Toldo Barra Frontal100 .Pintar 6,00m 34996050 (1kg.=0,766) ml}a Pct24f  f1286</x:v>
      </x:c>
      <x:c r="D412" s="21" t="str">
        <x:v>Alumínio cru</x:v>
      </x:c>
      <x:c r="E412" s="24" t="n">
        <x:v>34.74</x:v>
      </x:c>
      <x:c r="F412" s="34" t="n">
        <x:v>0.766</x:v>
      </x:c>
      <x:c r="G412" s="21" t="str">
        <x:v>descricao</x:v>
      </x:c>
      <x:c r="H412" s="35" t="n">
        <x:f>IFERROR(E412/F412,"")</x:f>
        <x:v>45.35248041775457</x:v>
      </x:c>
      <x:c r="I412" s="17" t="str">
        <x:v>Precificado</x:v>
      </x:c>
    </x:row>
    <x:row r="413">
      <x:c r="A413" s="16" t="n">
        <x:v>413</x:v>
      </x:c>
      <x:c r="B413" s="21" t="str">
        <x:v>PS.000.150.1</x:v>
      </x:c>
      <x:c r="C413" s="57" t="str">
        <x:v>Perfil Toldo Barra Frontal100 .Pintar 7,00m (34997050) (1kg.=0,766m) ml}a Pct7m 02/25 PCT42Mf? nacio.? f1286</x:v>
      </x:c>
      <x:c r="D413" s="21" t="str">
        <x:v>Alumínio cru</x:v>
      </x:c>
      <x:c r="E413" s="24" t="n">
        <x:v>34.74</x:v>
      </x:c>
      <x:c r="F413" s="34" t="n">
        <x:v>0.766</x:v>
      </x:c>
      <x:c r="G413" s="21" t="str">
        <x:v>descricao</x:v>
      </x:c>
      <x:c r="H413" s="35" t="n">
        <x:f>IFERROR(E413/F413,"")</x:f>
        <x:v>45.35248041775457</x:v>
      </x:c>
      <x:c r="I413" s="17" t="str">
        <x:v>Precificado</x:v>
      </x:c>
    </x:row>
    <x:row r="414">
      <x:c r="A414" s="16" t="n">
        <x:v>414</x:v>
      </x:c>
      <x:c r="B414" s="21" t="str">
        <x:v>PS.000.350</x:v>
      </x:c>
      <x:c r="C414" s="57" t="str">
        <x:v>Perfil Toldo Barra Frontal100 Branco 5,00m (6m e 7m) (34995001) (B) (1kg.=0,766m) Pct20f )f? nacio.? F1286 f0234</x:v>
      </x:c>
      <x:c r="D414" s="21" t="str">
        <x:v>Branco</x:v>
      </x:c>
      <x:c r="E414" s="24" t="n">
        <x:v>40.57</x:v>
      </x:c>
      <x:c r="F414" s="34" t="n">
        <x:v>0.766</x:v>
      </x:c>
      <x:c r="G414" s="21" t="str">
        <x:v>descricao</x:v>
      </x:c>
      <x:c r="H414" s="35" t="n">
        <x:f>IFERROR(E414/F414,"")</x:f>
        <x:v>52.96344647519582</x:v>
      </x:c>
      <x:c r="I414" s="17" t="str">
        <x:v>Precificado</x:v>
      </x:c>
    </x:row>
    <x:row r="415">
      <x:c r="A415" s="16" t="n">
        <x:v>415</x:v>
      </x:c>
      <x:c r="B415" s="21" t="str">
        <x:v>PS.000.353</x:v>
      </x:c>
      <x:c r="C415" s="57" t="str">
        <x:v>Perfil Toldo Barra Frontal100 Branco 7M (5 e 6m) (34997001) (B) (1kg.=0,766m) Pct28f f? nacio.?F1286 f0234</x:v>
      </x:c>
      <x:c r="D415" s="21" t="str">
        <x:v>Branco</x:v>
      </x:c>
      <x:c r="E415" s="24" t="n">
        <x:v>40.57</x:v>
      </x:c>
      <x:c r="F415" s="34" t="n">
        <x:v>0.766</x:v>
      </x:c>
      <x:c r="G415" s="21" t="str">
        <x:v>descricao</x:v>
      </x:c>
      <x:c r="H415" s="35" t="n">
        <x:f>IFERROR(E415/F415,"")</x:f>
        <x:v>52.96344647519582</x:v>
      </x:c>
      <x:c r="I415" s="17" t="str">
        <x:v>Precificado</x:v>
      </x:c>
    </x:row>
    <x:row r="416">
      <x:c r="A416" s="16" t="n">
        <x:v>416</x:v>
      </x:c>
      <x:c r="B416" s="21" t="str">
        <x:v>PS.000.068</x:v>
      </x:c>
      <x:c r="C416" s="57" t="str">
        <x:v>Perfil Toldo Barra Frontal100 Branco Siplan 34996001-6m (5e7m) (B) (1kg.=0,766m) Pct24f f? nacio.?  F1286 f0234 (PC) em falta esse tamanho</x:v>
      </x:c>
      <x:c r="D416" s="21" t="str">
        <x:v>Branco</x:v>
      </x:c>
      <x:c r="E416" s="24" t="n">
        <x:v>40.57</x:v>
      </x:c>
      <x:c r="F416" s="34" t="n">
        <x:v>0.766</x:v>
      </x:c>
      <x:c r="G416" s="21" t="str">
        <x:v>descricao</x:v>
      </x:c>
      <x:c r="H416" s="35" t="n">
        <x:f>IFERROR(E416/F416,"")</x:f>
        <x:v>52.96344647519582</x:v>
      </x:c>
      <x:c r="I416" s="17" t="str">
        <x:v>Precificado</x:v>
      </x:c>
    </x:row>
    <x:row r="417">
      <x:c r="A417" s="16" t="n">
        <x:v>417</x:v>
      </x:c>
      <x:c r="B417" s="21" t="str">
        <x:v>PS.000.202</x:v>
      </x:c>
      <x:c r="C417" s="57" t="str">
        <x:v>Perfil Toldo Barra Frontal100 Bronze SiplanBZ1002 7,00m (e 5m)(34997002) q.a.ssPS.000.202.1 br27/05</x:v>
      </x:c>
      <x:c r="D417" s="21" t="str">
        <x:v>Bronze</x:v>
      </x:c>
      <x:c r="E417" s="24" t="n">
        <x:v>42.94</x:v>
      </x:c>
      <x:c r="F417" s="34" t="n">
        <x:v>0.766</x:v>
      </x:c>
      <x:c r="G417" s="21" t="str">
        <x:v>perfil-equivalente</x:v>
      </x:c>
      <x:c r="H417" s="35" t="n">
        <x:f>IFERROR(E417/F417,"")</x:f>
        <x:v>56.057441253263704</x:v>
      </x:c>
      <x:c r="I417" s="17" t="str">
        <x:v>Precificado</x:v>
      </x:c>
    </x:row>
    <x:row r="418">
      <x:c r="A418" s="16" t="n">
        <x:v>418</x:v>
      </x:c>
      <x:c r="B418" s="21" t="str">
        <x:v>PS.000.202.1</x:v>
      </x:c>
      <x:c r="C418" s="57" t="str">
        <x:v>Perfil Toldo Barra Frontal100 Bronze SiplanBZ1002 7M (34997002) (B) (1kg.=0,766m) Unico  nacio.?  F1286 f0234</x:v>
      </x:c>
      <x:c r="D418" s="21" t="str">
        <x:v>Bronze</x:v>
      </x:c>
      <x:c r="E418" s="24" t="n">
        <x:v>42.94</x:v>
      </x:c>
      <x:c r="F418" s="34" t="n">
        <x:v>0.766</x:v>
      </x:c>
      <x:c r="G418" s="21" t="str">
        <x:v>descricao</x:v>
      </x:c>
      <x:c r="H418" s="35" t="n">
        <x:f>IFERROR(E418/F418,"")</x:f>
        <x:v>56.057441253263704</x:v>
      </x:c>
      <x:c r="I418" s="17" t="str">
        <x:v>Precificado</x:v>
      </x:c>
    </x:row>
    <x:row r="419">
      <x:c r="A419" s="16" t="n">
        <x:v>419</x:v>
      </x:c>
      <x:c r="B419" s="21" t="str">
        <x:v>PS.000.352</x:v>
      </x:c>
      <x:c r="C419" s="57" t="str">
        <x:v>Perfil Toldo Barra Frontal100 Preto 5,00m (e 7,00m) (34995009) (B) (1kg.=0,766m) Pct20ff? nacio.? cpr f1286 f0234</x:v>
      </x:c>
      <x:c r="D419" s="21" t="str">
        <x:v>Preto</x:v>
      </x:c>
      <x:c r="E419" s="24" t="n">
        <x:v>39.74</x:v>
      </x:c>
      <x:c r="F419" s="34" t="n">
        <x:v>0.766</x:v>
      </x:c>
      <x:c r="G419" s="21" t="str">
        <x:v>descricao</x:v>
      </x:c>
      <x:c r="H419" s="35" t="n">
        <x:f>IFERROR(E419/F419,"")</x:f>
        <x:v>51.879895561357706</x:v>
      </x:c>
      <x:c r="I419" s="17" t="str">
        <x:v>Precificado</x:v>
      </x:c>
    </x:row>
    <x:row r="420">
      <x:c r="A420" s="16" t="n">
        <x:v>420</x:v>
      </x:c>
      <x:c r="B420" s="21" t="str">
        <x:v>PS.000.150</x:v>
      </x:c>
      <x:c r="C420" s="57" t="str">
        <x:v>Perfil Toldo Barra Frontal100 Preto 7,00m (e 5,00m) (34997009)  (1kg.=0,766m) (A) Pct28f  f? nacio.? F1286 f0234</x:v>
      </x:c>
      <x:c r="D420" s="21" t="str">
        <x:v>Preto</x:v>
      </x:c>
      <x:c r="E420" s="24" t="n">
        <x:v>39.74</x:v>
      </x:c>
      <x:c r="F420" s="34" t="n">
        <x:v>0.766</x:v>
      </x:c>
      <x:c r="G420" s="21" t="str">
        <x:v>descricao</x:v>
      </x:c>
      <x:c r="H420" s="35" t="n">
        <x:f>IFERROR(E420/F420,"")</x:f>
        <x:v>51.879895561357706</x:v>
      </x:c>
      <x:c r="I420" s="17" t="str">
        <x:v>Precificado</x:v>
      </x:c>
    </x:row>
    <x:row r="421">
      <x:c r="A421" s="16" t="n">
        <x:v>421</x:v>
      </x:c>
      <x:c r="B421" s="21" t="str">
        <x:v>PS.000.076.1</x:v>
      </x:c>
      <x:c r="C421" s="57" t="str">
        <x:v>Perfil Toldo Barra Frontal60 .Pintar 4m 34604050 (1kg.=1,14m) ml}a Pct24f   F1286</x:v>
      </x:c>
      <x:c r="D421" s="21" t="str">
        <x:v>Alumínio cru</x:v>
      </x:c>
      <x:c r="E421" s="24" t="n">
        <x:v>34.74</x:v>
      </x:c>
      <x:c r="F421" s="34" t="n">
        <x:v>1.14</x:v>
      </x:c>
      <x:c r="G421" s="21" t="str">
        <x:v>descricao</x:v>
      </x:c>
      <x:c r="H421" s="35" t="n">
        <x:f>IFERROR(E421/F421,"")</x:f>
        <x:v>30.47368421052632</x:v>
      </x:c>
      <x:c r="I421" s="17" t="str">
        <x:v>Precificado</x:v>
      </x:c>
    </x:row>
    <x:row r="422">
      <x:c r="A422" s="16" t="n">
        <x:v>422</x:v>
      </x:c>
      <x:c r="B422" s="21" t="str">
        <x:v>PS.000.403.1</x:v>
      </x:c>
      <x:c r="C422" s="57" t="str">
        <x:v>Perfil Toldo Barra Frontal60 .Pintar 5m 34605050 (1kg.=1,14m) ml}a Pct30f  F1286</x:v>
      </x:c>
      <x:c r="D422" s="21" t="str">
        <x:v>Alumínio cru</x:v>
      </x:c>
      <x:c r="E422" s="24" t="n">
        <x:v>34.74</x:v>
      </x:c>
      <x:c r="F422" s="34" t="n">
        <x:v>1.14</x:v>
      </x:c>
      <x:c r="G422" s="21" t="str">
        <x:v>descricao</x:v>
      </x:c>
      <x:c r="H422" s="35" t="n">
        <x:f>IFERROR(E422/F422,"")</x:f>
        <x:v>30.47368421052632</x:v>
      </x:c>
      <x:c r="I422" s="17" t="str">
        <x:v>Precificado</x:v>
      </x:c>
    </x:row>
    <x:row r="423">
      <x:c r="A423" s="16" t="n">
        <x:v>423</x:v>
      </x:c>
      <x:c r="B423" s="21" t="str">
        <x:v>PS.000.159.1</x:v>
      </x:c>
      <x:c r="C423" s="57" t="str">
        <x:v>Perfil Toldo Barra Frontal60 .Pintar 6m (34606050) (1kg.=1,14m) ml}a  Pct7m PCT36Mf? nacio.?F1286</x:v>
      </x:c>
      <x:c r="D423" s="21" t="str">
        <x:v>Alumínio cru</x:v>
      </x:c>
      <x:c r="E423" s="24" t="n">
        <x:v>34.74</x:v>
      </x:c>
      <x:c r="F423" s="34" t="n">
        <x:v>1.14</x:v>
      </x:c>
      <x:c r="G423" s="21" t="str">
        <x:v>descricao</x:v>
      </x:c>
      <x:c r="H423" s="35" t="n">
        <x:f>IFERROR(E423/F423,"")</x:f>
        <x:v>30.47368421052632</x:v>
      </x:c>
      <x:c r="I423" s="17" t="str">
        <x:v>Precificado</x:v>
      </x:c>
    </x:row>
    <x:row r="424">
      <x:c r="A424" s="16" t="n">
        <x:v>424</x:v>
      </x:c>
      <x:c r="B424" s="21" t="str">
        <x:v>PS.000.663</x:v>
      </x:c>
      <x:c r="C424" s="57" t="str">
        <x:v>Perfil Toldo Barra Frontal60 .Pintar 7m (34607050) (1kg.=1,14m) ml}a  Pct7m PCT36M  F1286</x:v>
      </x:c>
      <x:c r="D424" s="21" t="str">
        <x:v>Alumínio cru</x:v>
      </x:c>
      <x:c r="E424" s="24" t="n">
        <x:v>34.74</x:v>
      </x:c>
      <x:c r="F424" s="34" t="n">
        <x:v>1.14</x:v>
      </x:c>
      <x:c r="G424" s="21" t="str">
        <x:v>descricao</x:v>
      </x:c>
      <x:c r="H424" s="35" t="n">
        <x:f>IFERROR(E424/F424,"")</x:f>
        <x:v>30.47368421052632</x:v>
      </x:c>
      <x:c r="I424" s="17" t="str">
        <x:v>Precificado</x:v>
      </x:c>
    </x:row>
    <x:row r="425">
      <x:c r="A425" s="16" t="n">
        <x:v>425</x:v>
      </x:c>
      <x:c r="B425" s="21" t="str">
        <x:v>PS.000.403</x:v>
      </x:c>
      <x:c r="C425" s="57" t="str">
        <x:v>Perfil Toldo Barra Frontal60 Branco 5m (4, 6 e 7m) (34605001) (1kg.=1,14m) Pct30f Pct5c  F1286f0234</x:v>
      </x:c>
      <x:c r="D425" s="21" t="str">
        <x:v>Branco</x:v>
      </x:c>
      <x:c r="E425" s="24" t="n">
        <x:v>40.57</x:v>
      </x:c>
      <x:c r="F425" s="34" t="n">
        <x:v>1.14</x:v>
      </x:c>
      <x:c r="G425" s="21" t="str">
        <x:v>descricao</x:v>
      </x:c>
      <x:c r="H425" s="35" t="n">
        <x:f>IFERROR(E425/F425,"")</x:f>
        <x:v>35.58771929824562</x:v>
      </x:c>
      <x:c r="I425" s="17" t="str">
        <x:v>Precificado</x:v>
      </x:c>
    </x:row>
    <x:row r="426">
      <x:c r="A426" s="16" t="n">
        <x:v>426</x:v>
      </x:c>
      <x:c r="B426" s="21" t="str">
        <x:v>PS.000.077</x:v>
      </x:c>
      <x:c r="C426" s="57" t="str">
        <x:v>Perfil Toldo Barra Frontal60 Branco 6m (4 ,5 e 7m) (34606001) (1kg.=1,14m) (B) Pct36f Pct6 F1286f0234</x:v>
      </x:c>
      <x:c r="D426" s="21" t="str">
        <x:v>Branco</x:v>
      </x:c>
      <x:c r="E426" s="24" t="n">
        <x:v>40.57</x:v>
      </x:c>
      <x:c r="F426" s="34" t="n">
        <x:v>1.14</x:v>
      </x:c>
      <x:c r="G426" s="21" t="str">
        <x:v>descricao</x:v>
      </x:c>
      <x:c r="H426" s="35" t="n">
        <x:f>IFERROR(E426/F426,"")</x:f>
        <x:v>35.58771929824562</x:v>
      </x:c>
      <x:c r="I426" s="17" t="str">
        <x:v>Precificado</x:v>
      </x:c>
    </x:row>
    <x:row r="427">
      <x:c r="A427" s="16" t="n">
        <x:v>427</x:v>
      </x:c>
      <x:c r="B427" s="21" t="str">
        <x:v>PS.000.076</x:v>
      </x:c>
      <x:c r="C427" s="57" t="str">
        <x:v>Perfil Toldo Barra Frontal60 Branco Siplan 4m (5m,6m e 7m) (34604001) (1kg.=1,14m) Pct24f Pct4m F1286 f0234</x:v>
      </x:c>
      <x:c r="D427" s="21" t="str">
        <x:v>Branco</x:v>
      </x:c>
      <x:c r="E427" s="24" t="n">
        <x:v>40.57</x:v>
      </x:c>
      <x:c r="F427" s="34" t="n">
        <x:v>1.14</x:v>
      </x:c>
      <x:c r="G427" s="21" t="str">
        <x:v>descricao</x:v>
      </x:c>
      <x:c r="H427" s="35" t="n">
        <x:f>IFERROR(E427/F427,"")</x:f>
        <x:v>35.58771929824562</x:v>
      </x:c>
      <x:c r="I427" s="17" t="str">
        <x:v>Precificado</x:v>
      </x:c>
    </x:row>
    <x:row r="428">
      <x:c r="A428" s="16" t="n">
        <x:v>428</x:v>
      </x:c>
      <x:c r="B428" s="21" t="str">
        <x:v>PS.000.463</x:v>
      </x:c>
      <x:c r="C428" s="57" t="str">
        <x:v>Perfil Toldo Barra Frontal60 Branco Siplan 7m (4, 5 e 6m) (34607001) (1kg.=1,11m)  q.a.f.l essa largura</x:v>
      </x:c>
      <x:c r="D428" s="21" t="str">
        <x:v>Branco</x:v>
      </x:c>
      <x:c r="E428" s="24" t="n">
        <x:v>40.57</x:v>
      </x:c>
      <x:c r="F428" s="34" t="n">
        <x:v>1.11</x:v>
      </x:c>
      <x:c r="G428" s="21" t="str">
        <x:v>descricao</x:v>
      </x:c>
      <x:c r="H428" s="35" t="n">
        <x:f>IFERROR(E428/F428,"")</x:f>
        <x:v>36.549549549549546</x:v>
      </x:c>
      <x:c r="I428" s="17" t="str">
        <x:v>Precificado</x:v>
      </x:c>
    </x:row>
    <x:row r="429">
      <x:c r="A429" s="16" t="n">
        <x:v>429</x:v>
      </x:c>
      <x:c r="B429" s="21" t="str">
        <x:v>PS.000.208</x:v>
      </x:c>
      <x:c r="C429" s="57" t="str">
        <x:v>Perfil Toldo Barra Frontal60 Bronze SiplanBZ1002 5m (34605002) (1kg.=1,14m) Pct1  q.a.ss PS.000.209.1  6m</x:v>
      </x:c>
      <x:c r="D429" s="21" t="str">
        <x:v>Bronze</x:v>
      </x:c>
      <x:c r="E429" s="24" t="n">
        <x:v>42.94</x:v>
      </x:c>
      <x:c r="F429" s="34" t="n">
        <x:v>1.14</x:v>
      </x:c>
      <x:c r="G429" s="21" t="str">
        <x:v>descricao</x:v>
      </x:c>
      <x:c r="H429" s="35" t="n">
        <x:f>IFERROR(E429/F429,"")</x:f>
        <x:v>37.66666666666667</x:v>
      </x:c>
      <x:c r="I429" s="17" t="str">
        <x:v>Precificado</x:v>
      </x:c>
    </x:row>
    <x:row r="430">
      <x:c r="A430" s="16" t="n">
        <x:v>430</x:v>
      </x:c>
      <x:c r="B430" s="21" t="str">
        <x:v>PS.000.209.1</x:v>
      </x:c>
      <x:c r="C430" s="57" t="str">
        <x:v>Perfil Toldo Barra Frontal60 Bronze SiplanBZ1002 6m (34606002) (1kg.=1,37m) 1286f0234</x:v>
      </x:c>
      <x:c r="D430" s="21" t="str">
        <x:v>Bronze</x:v>
      </x:c>
      <x:c r="E430" s="24" t="n">
        <x:v>42.94</x:v>
      </x:c>
      <x:c r="F430" s="34" t="n">
        <x:v>1.37</x:v>
      </x:c>
      <x:c r="G430" s="21" t="str">
        <x:v>descricao</x:v>
      </x:c>
      <x:c r="H430" s="35" t="n">
        <x:f>IFERROR(E430/F430,"")</x:f>
        <x:v>31.343065693430653</x:v>
      </x:c>
      <x:c r="I430" s="17" t="str">
        <x:v>Precificado</x:v>
      </x:c>
    </x:row>
    <x:row r="431">
      <x:c r="A431" s="16" t="n">
        <x:v>431</x:v>
      </x:c>
      <x:c r="B431" s="21" t="str">
        <x:v>PS.000.158</x:v>
      </x:c>
      <x:c r="C431" s="57" t="str">
        <x:v>Perfil Toldo Barra Frontal60 Preto 5m (e6m) (34605009)(1kg.=1,14m) Pct30f f? nacio.? F1286f0234</x:v>
      </x:c>
      <x:c r="D431" s="21" t="str">
        <x:v>Preto</x:v>
      </x:c>
      <x:c r="E431" s="24" t="n">
        <x:v>39.74</x:v>
      </x:c>
      <x:c r="F431" s="34" t="n">
        <x:v>1.14</x:v>
      </x:c>
      <x:c r="G431" s="21" t="str">
        <x:v>descricao</x:v>
      </x:c>
      <x:c r="H431" s="35" t="n">
        <x:f>IFERROR(E431/F431,"")</x:f>
        <x:v>34.85964912280702</x:v>
      </x:c>
      <x:c r="I431" s="17" t="str">
        <x:v>Precificado</x:v>
      </x:c>
    </x:row>
    <x:row r="432">
      <x:c r="A432" s="16" t="n">
        <x:v>432</x:v>
      </x:c>
      <x:c r="B432" s="21" t="str">
        <x:v>PS.000.658</x:v>
      </x:c>
      <x:c r="C432" s="57" t="str">
        <x:v>Perfil Toldo Barra Frontal60 Preto 6m (e 5m) (34606009) (B) (1kg.=1,14m) Pct36f Pct6m f? nacio.?F1286f0234</x:v>
      </x:c>
      <x:c r="D432" s="21" t="str">
        <x:v>Preto</x:v>
      </x:c>
      <x:c r="E432" s="24" t="n">
        <x:v>39.74</x:v>
      </x:c>
      <x:c r="F432" s="34" t="n">
        <x:v>1.14</x:v>
      </x:c>
      <x:c r="G432" s="21" t="str">
        <x:v>descricao</x:v>
      </x:c>
      <x:c r="H432" s="35" t="n">
        <x:f>IFERROR(E432/F432,"")</x:f>
        <x:v>34.85964912280702</x:v>
      </x:c>
      <x:c r="I432" s="17" t="str">
        <x:v>Precificado</x:v>
      </x:c>
    </x:row>
    <x:row r="433">
      <x:c r="A433" s="16" t="n">
        <x:v>433</x:v>
      </x:c>
      <x:c r="B433" s="21" t="str">
        <x:v>PS.000.065.1</x:v>
      </x:c>
      <x:c r="C433" s="57" t="str">
        <x:v>Perfil Toldo Barra Frontal75 .Pintar 5,00m 34755050 (1kg.=1,11m) ml}a pct30m F1286</x:v>
      </x:c>
      <x:c r="D433" s="21" t="str">
        <x:v>Alumínio cru</x:v>
      </x:c>
      <x:c r="E433" s="24" t="n">
        <x:v>34.74</x:v>
      </x:c>
      <x:c r="F433" s="34" t="n">
        <x:v>1.11</x:v>
      </x:c>
      <x:c r="G433" s="21" t="str">
        <x:v>descricao</x:v>
      </x:c>
      <x:c r="H433" s="35" t="n">
        <x:f>IFERROR(E433/F433,"")</x:f>
        <x:v>31.297297297297295</x:v>
      </x:c>
      <x:c r="I433" s="17" t="str">
        <x:v>Precificado</x:v>
      </x:c>
    </x:row>
    <x:row r="434">
      <x:c r="A434" s="16" t="n">
        <x:v>434</x:v>
      </x:c>
      <x:c r="B434" s="21" t="str">
        <x:v>PS.000.066.1</x:v>
      </x:c>
      <x:c r="C434" s="57" t="str">
        <x:v>Perfil Toldo Barra Frontal75 .Pintar 7,00m 34757050 (1kg.=1,11m) ml}a Pct42f Pct7m )F1286</x:v>
      </x:c>
      <x:c r="D434" s="21" t="str">
        <x:v>Alumínio cru</x:v>
      </x:c>
      <x:c r="E434" s="24" t="n">
        <x:v>34.74</x:v>
      </x:c>
      <x:c r="F434" s="34" t="n">
        <x:v>1.11</x:v>
      </x:c>
      <x:c r="G434" s="21" t="str">
        <x:v>descricao</x:v>
      </x:c>
      <x:c r="H434" s="35" t="n">
        <x:f>IFERROR(E434/F434,"")</x:f>
        <x:v>31.297297297297295</x:v>
      </x:c>
      <x:c r="I434" s="17" t="str">
        <x:v>Precificado</x:v>
      </x:c>
    </x:row>
    <x:row r="435">
      <x:c r="A435" s="16" t="n">
        <x:v>435</x:v>
      </x:c>
      <x:c r="B435" s="21" t="str">
        <x:v>PS.000.065</x:v>
      </x:c>
      <x:c r="C435" s="57" t="str">
        <x:v>Perfil Toldo Barra Frontal75 Branco 5M (e 7,00m) (34755001) (B) (1kg.=1,11m) Pct30f Pct5m F1286 f0234f? nacio.?</x:v>
      </x:c>
      <x:c r="D435" s="21" t="str">
        <x:v>Branco</x:v>
      </x:c>
      <x:c r="E435" s="24" t="n">
        <x:v>40.57</x:v>
      </x:c>
      <x:c r="F435" s="34" t="n">
        <x:v>1.11</x:v>
      </x:c>
      <x:c r="G435" s="21" t="str">
        <x:v>descricao</x:v>
      </x:c>
      <x:c r="H435" s="35" t="n">
        <x:f>IFERROR(E435/F435,"")</x:f>
        <x:v>36.549549549549546</x:v>
      </x:c>
      <x:c r="I435" s="17" t="str">
        <x:v>Precificado</x:v>
      </x:c>
    </x:row>
    <x:row r="436">
      <x:c r="A436" s="16" t="n">
        <x:v>436</x:v>
      </x:c>
      <x:c r="B436" s="21" t="str">
        <x:v>PS.000.066</x:v>
      </x:c>
      <x:c r="C436" s="57" t="str">
        <x:v>Perfil Toldo Barra Frontal75 Branco Siplan 7,00m (e 5,00m) (34757001) (1kg.=1,11m) Pct42f F1286 f0234</x:v>
      </x:c>
      <x:c r="D436" s="21" t="str">
        <x:v>Branco</x:v>
      </x:c>
      <x:c r="E436" s="24" t="n">
        <x:v>40.57</x:v>
      </x:c>
      <x:c r="F436" s="34" t="n">
        <x:v>1.11</x:v>
      </x:c>
      <x:c r="G436" s="21" t="str">
        <x:v>descricao</x:v>
      </x:c>
      <x:c r="H436" s="35" t="n">
        <x:f>IFERROR(E436/F436,"")</x:f>
        <x:v>36.549549549549546</x:v>
      </x:c>
      <x:c r="I436" s="17" t="str">
        <x:v>Precificado</x:v>
      </x:c>
    </x:row>
    <x:row r="437">
      <x:c r="A437" s="16" t="n">
        <x:v>437</x:v>
      </x:c>
      <x:c r="B437" s="21" t="str">
        <x:v>PS.000.200</x:v>
      </x:c>
      <x:c r="C437" s="57" t="str">
        <x:v>Perfil Toldo Barra Frontal75 Bronze SiplanBZ1002 5M (e 7m) (34755002) (1kg.=1,11m) Pct30f Pct1  F1286 f0234</x:v>
      </x:c>
      <x:c r="D437" s="21" t="str">
        <x:v>Bronze</x:v>
      </x:c>
      <x:c r="E437" s="24" t="n">
        <x:v>42.94</x:v>
      </x:c>
      <x:c r="F437" s="34" t="n">
        <x:v>1.11</x:v>
      </x:c>
      <x:c r="G437" s="21" t="str">
        <x:v>descricao</x:v>
      </x:c>
      <x:c r="H437" s="35" t="n">
        <x:f>IFERROR(E437/F437,"")</x:f>
        <x:v>38.684684684684676</x:v>
      </x:c>
      <x:c r="I437" s="17" t="str">
        <x:v>Precificado</x:v>
      </x:c>
    </x:row>
    <x:row r="438">
      <x:c r="A438" s="16" t="n">
        <x:v>438</x:v>
      </x:c>
      <x:c r="B438" s="21" t="str">
        <x:v>PS.000.201</x:v>
      </x:c>
      <x:c r="C438" s="57" t="str">
        <x:v>Perfil Toldo Barra Frontal75 Bronze SiplanBZ1002 7m (e 5m) (34757002) (1kg.=1,11m) Pct1 F1286</x:v>
      </x:c>
      <x:c r="D438" s="21" t="str">
        <x:v>Bronze</x:v>
      </x:c>
      <x:c r="E438" s="24" t="n">
        <x:v>42.94</x:v>
      </x:c>
      <x:c r="F438" s="34" t="n">
        <x:v>1.11</x:v>
      </x:c>
      <x:c r="G438" s="21" t="str">
        <x:v>descricao</x:v>
      </x:c>
      <x:c r="H438" s="35" t="n">
        <x:f>IFERROR(E438/F438,"")</x:f>
        <x:v>38.684684684684676</x:v>
      </x:c>
      <x:c r="I438" s="17" t="str">
        <x:v>Precificado</x:v>
      </x:c>
    </x:row>
    <x:row r="439">
      <x:c r="A439" s="16" t="n">
        <x:v>439</x:v>
      </x:c>
      <x:c r="B439" s="21" t="str">
        <x:v>PS.000.147</x:v>
      </x:c>
      <x:c r="C439" s="57" t="str">
        <x:v>Perfil Toldo Barra Frontal75 Preto 5,00m (e 7,00m) (34755009) (1kg.=1,11m) Pct30f Pct5m F1286 f0234</x:v>
      </x:c>
      <x:c r="D439" s="21" t="str">
        <x:v>Preto</x:v>
      </x:c>
      <x:c r="E439" s="24" t="n">
        <x:v>39.74</x:v>
      </x:c>
      <x:c r="F439" s="34" t="n">
        <x:v>1.11</x:v>
      </x:c>
      <x:c r="G439" s="21" t="str">
        <x:v>descricao</x:v>
      </x:c>
      <x:c r="H439" s="35" t="n">
        <x:f>IFERROR(E439/F439,"")</x:f>
        <x:v>35.8018018018018</x:v>
      </x:c>
      <x:c r="I439" s="17" t="str">
        <x:v>Precificado</x:v>
      </x:c>
    </x:row>
    <x:row r="440">
      <x:c r="A440" s="16" t="n">
        <x:v>440</x:v>
      </x:c>
      <x:c r="B440" s="21" t="str">
        <x:v>PS.000.148</x:v>
      </x:c>
      <x:c r="C440" s="57" t="str">
        <x:v>Perfil Toldo Barra Frontal75 Preto 7,00m (e 5,00m) (34757009) (1kg.=1,11m) Pct1 f? nacio.?f1286 f0234</x:v>
      </x:c>
      <x:c r="D440" s="21" t="str">
        <x:v>Preto</x:v>
      </x:c>
      <x:c r="E440" s="24" t="n">
        <x:v>39.74</x:v>
      </x:c>
      <x:c r="F440" s="34" t="n">
        <x:v>1.11</x:v>
      </x:c>
      <x:c r="G440" s="21" t="str">
        <x:v>descricao</x:v>
      </x:c>
      <x:c r="H440" s="35" t="n">
        <x:f>IFERROR(E440/F440,"")</x:f>
        <x:v>35.8018018018018</x:v>
      </x:c>
      <x:c r="I440" s="17" t="str">
        <x:v>Precificado</x:v>
      </x:c>
    </x:row>
    <x:row r="441">
      <x:c r="A441" s="16" t="n">
        <x:v>441</x:v>
      </x:c>
      <x:c r="B441" s="21" t="str">
        <x:v>4008001199</x:v>
      </x:c>
      <x:c r="C441" s="57" t="str">
        <x:v>Perfil Toldo Box Completo KSet25 .Pintar 5,00M (44005050) (1kg.=0,224m) Pct3f.)</x:v>
      </x:c>
      <x:c r="D441" s="21" t="str">
        <x:v>Alumínio cru</x:v>
      </x:c>
      <x:c r="E441" s="24" t="n">
        <x:v>34.74</x:v>
      </x:c>
      <x:c r="F441" s="34" t="n">
        <x:v>0.224</x:v>
      </x:c>
      <x:c r="G441" s="21" t="str">
        <x:v>descricao</x:v>
      </x:c>
      <x:c r="H441" s="35" t="n">
        <x:f>IFERROR(E441/F441,"")</x:f>
        <x:v>155.08928571428572</x:v>
      </x:c>
      <x:c r="I441" s="17" t="str">
        <x:v>Precificado</x:v>
      </x:c>
    </x:row>
    <x:row r="442">
      <x:c r="A442" s="16" t="n">
        <x:v>442</x:v>
      </x:c>
      <x:c r="B442" s="21" t="str">
        <x:v>PS.000.084</x:v>
      </x:c>
      <x:c r="C442" s="57" t="str">
        <x:v>Perfil Toldo Box Completo KSet25 Branco Siplan 3,00M (e 5,00m)(44003001) (1kg.=0,224m) Pct3f q.a.ficar apenas larg5m</x:v>
      </x:c>
      <x:c r="D442" s="21" t="str">
        <x:v>Branco</x:v>
      </x:c>
      <x:c r="E442" s="24" t="n">
        <x:v>40.57</x:v>
      </x:c>
      <x:c r="F442" s="34" t="n">
        <x:v>0.224</x:v>
      </x:c>
      <x:c r="G442" s="21" t="str">
        <x:v>descricao</x:v>
      </x:c>
      <x:c r="H442" s="35" t="n">
        <x:f>IFERROR(E442/F442,"")</x:f>
        <x:v>181.11607142857142</x:v>
      </x:c>
      <x:c r="I442" s="17" t="str">
        <x:v>Precificado</x:v>
      </x:c>
    </x:row>
    <x:row r="443">
      <x:c r="A443" s="16" t="n">
        <x:v>443</x:v>
      </x:c>
      <x:c r="B443" s="21" t="str">
        <x:v>PS.000.083</x:v>
      </x:c>
      <x:c r="C443" s="57" t="str">
        <x:v>Perfil Toldo Box Completo KSet25 Branco Siplan 5M (e 3,00m) (44005001) (B) (1kg.=0,227m) Pct5f f1286 f0234</x:v>
      </x:c>
      <x:c r="D443" s="21" t="str">
        <x:v>Branco</x:v>
      </x:c>
      <x:c r="E443" s="24" t="n">
        <x:v>40.57</x:v>
      </x:c>
      <x:c r="F443" s="34" t="n">
        <x:v>0.227</x:v>
      </x:c>
      <x:c r="G443" s="21" t="str">
        <x:v>descricao</x:v>
      </x:c>
      <x:c r="H443" s="35" t="n">
        <x:f>IFERROR(E443/F443,"")</x:f>
        <x:v>178.72246696035242</x:v>
      </x:c>
      <x:c r="I443" s="17" t="str">
        <x:v>Precificado</x:v>
      </x:c>
    </x:row>
    <x:row r="444">
      <x:c r="A444" s="16" t="n">
        <x:v>444</x:v>
      </x:c>
      <x:c r="B444" s="21" t="str">
        <x:v>PS.000.211</x:v>
      </x:c>
      <x:c r="C444" s="57" t="str">
        <x:v>Perfil Toldo Box Completo KSet25 Bronze SiplanBZ1002 3,00M (e 5,00m) (44003002) bz1002 siplan (1kg.=0,224m) Pct3 02/23 (toldo.)q.a.ficar apenas larg5m</x:v>
      </x:c>
      <x:c r="D444" s="21" t="str">
        <x:v>Bronze</x:v>
      </x:c>
      <x:c r="E444" s="24" t="n">
        <x:v>42.94</x:v>
      </x:c>
      <x:c r="F444" s="34" t="n">
        <x:v>0.224</x:v>
      </x:c>
      <x:c r="G444" s="21" t="str">
        <x:v>descricao</x:v>
      </x:c>
      <x:c r="H444" s="35" t="n">
        <x:f>IFERROR(E444/F444,"")</x:f>
        <x:v>191.69642857142856</x:v>
      </x:c>
      <x:c r="I444" s="17" t="str">
        <x:v>Precificado</x:v>
      </x:c>
    </x:row>
    <x:row r="445">
      <x:c r="A445" s="16" t="n">
        <x:v>445</x:v>
      </x:c>
      <x:c r="B445" s="21" t="str">
        <x:v>PS.000.210</x:v>
      </x:c>
      <x:c r="C445" s="57" t="str">
        <x:v>Perfil Toldo Box Completo KSet25 Bronze SiplanBZ1002 5,00M (e 3,00m) (44005002) (1kg.=0,227m) Pct5mf F1286 f0234</x:v>
      </x:c>
      <x:c r="D445" s="21" t="str">
        <x:v>Bronze</x:v>
      </x:c>
      <x:c r="E445" s="24" t="n">
        <x:v>42.94</x:v>
      </x:c>
      <x:c r="F445" s="34" t="n">
        <x:v>0.227</x:v>
      </x:c>
      <x:c r="G445" s="21" t="str">
        <x:v>descricao</x:v>
      </x:c>
      <x:c r="H445" s="35" t="n">
        <x:f>IFERROR(E445/F445,"")</x:f>
        <x:v>189.16299559471364</x:v>
      </x:c>
      <x:c r="I445" s="17" t="str">
        <x:v>Precificado</x:v>
      </x:c>
    </x:row>
    <x:row r="446">
      <x:c r="A446" s="16" t="n">
        <x:v>446</x:v>
      </x:c>
      <x:c r="B446" s="21" t="str">
        <x:v>PS.000.162</x:v>
      </x:c>
      <x:c r="C446" s="57" t="str">
        <x:v>Perfil Toldo Box Completo KSet25 Preto 3,00M (e 5,00m) (44003009) (1kg.=0,224m) Pct3f 02/23 (toldo.) q.a.ficar apenas larg 5m</x:v>
      </x:c>
      <x:c r="D446" s="21" t="str">
        <x:v>Preto</x:v>
      </x:c>
      <x:c r="E446" s="24" t="n">
        <x:v>39.74</x:v>
      </x:c>
      <x:c r="F446" s="34" t="n">
        <x:v>0.224</x:v>
      </x:c>
      <x:c r="G446" s="21" t="str">
        <x:v>descricao</x:v>
      </x:c>
      <x:c r="H446" s="35" t="n">
        <x:f>IFERROR(E446/F446,"")</x:f>
        <x:v>177.41071428571428</x:v>
      </x:c>
      <x:c r="I446" s="17" t="str">
        <x:v>Precificado</x:v>
      </x:c>
    </x:row>
    <x:row r="447">
      <x:c r="A447" s="16" t="n">
        <x:v>447</x:v>
      </x:c>
      <x:c r="B447" s="21" t="str">
        <x:v>PS.000.161</x:v>
      </x:c>
      <x:c r="C447" s="57" t="str">
        <x:v>Perfil Toldo Box Completo KSet25 Preto 5M (44005009) (1kg 0227) Pct5f F1286 f0234</x:v>
      </x:c>
      <x:c r="D447" s="21" t="str">
        <x:v>Preto</x:v>
      </x:c>
      <x:c r="E447" s="24" t="n">
        <x:v>39.74</x:v>
      </x:c>
      <x:c r="F447" s="34" t="n">
        <x:v>0.227</x:v>
      </x:c>
      <x:c r="G447" s="21" t="str">
        <x:v>descricao</x:v>
      </x:c>
      <x:c r="H447" s="35" t="n">
        <x:f>IFERROR(E447/F447,"")</x:f>
        <x:v>175.0660792951542</x:v>
      </x:c>
      <x:c r="I447" s="17" t="str">
        <x:v>Precificado</x:v>
      </x:c>
    </x:row>
    <x:row r="448">
      <x:c r="A448" s="16" t="n">
        <x:v>448</x:v>
      </x:c>
      <x:c r="B448" s="21" t="str">
        <x:v>PS.000.167.1</x:v>
      </x:c>
      <x:c r="C448" s="57" t="str">
        <x:v>Perfil Toldo Box Completo KSet30 .Pintar 6M 44506050 (1kg 01579m) mla  Pct6f  F1286</x:v>
      </x:c>
      <x:c r="D448" s="21" t="str">
        <x:v>Alumínio cru</x:v>
      </x:c>
      <x:c r="E448" s="24" t="n">
        <x:v>34.74</x:v>
      </x:c>
      <x:c r="F448" s="34" t="n">
        <x:v>0.1579</x:v>
      </x:c>
      <x:c r="G448" s="21" t="str">
        <x:v>descricao</x:v>
      </x:c>
      <x:c r="H448" s="35" t="n">
        <x:f>IFERROR(E448/F448,"")</x:f>
        <x:v>220.0126662444585</x:v>
      </x:c>
      <x:c r="I448" s="17" t="str">
        <x:v>Precificado</x:v>
      </x:c>
    </x:row>
    <x:row r="449">
      <x:c r="A449" s="16" t="n">
        <x:v>449</x:v>
      </x:c>
      <x:c r="B449" s="21" t="str">
        <x:v>PS.000.089</x:v>
      </x:c>
      <x:c r="C449" s="57" t="str">
        <x:v>Perfil Toldo Box Completo KSet30 Branco Siplan 5M (e 6m) (44505001) (1kg.=0,71m) Pct5f Q.A.SS 6M</x:v>
      </x:c>
      <x:c r="D449" s="21" t="str">
        <x:v>Branco</x:v>
      </x:c>
      <x:c r="E449" s="24" t="n">
        <x:v>40.57</x:v>
      </x:c>
      <x:c r="F449" s="34" t="n">
        <x:v>0.71</x:v>
      </x:c>
      <x:c r="G449" s="21" t="str">
        <x:v>descricao</x:v>
      </x:c>
      <x:c r="H449" s="35" t="n">
        <x:f>IFERROR(E449/F449,"")</x:f>
        <x:v>57.140845070422536</x:v>
      </x:c>
      <x:c r="I449" s="17" t="str">
        <x:v>Precificado</x:v>
      </x:c>
    </x:row>
    <x:row r="450">
      <x:c r="A450" s="16" t="n">
        <x:v>450</x:v>
      </x:c>
      <x:c r="B450" s="21" t="str">
        <x:v>PS.000.090</x:v>
      </x:c>
      <x:c r="C450" s="57" t="str">
        <x:v>Perfil Toldo Box Completo KSet30 Branco Siplan 6M (e 5m) (44506001) {kg=0,158m} Pct5f F1286 f0234</x:v>
      </x:c>
      <x:c r="D450" s="21" t="str">
        <x:v>Branco</x:v>
      </x:c>
      <x:c r="E450" s="24" t="n">
        <x:v>40.57</x:v>
      </x:c>
      <x:c r="F450" s="34" t="n">
        <x:v>0.158</x:v>
      </x:c>
      <x:c r="G450" s="21" t="str">
        <x:v>descricao</x:v>
      </x:c>
      <x:c r="H450" s="35" t="n">
        <x:f>IFERROR(E450/F450,"")</x:f>
        <x:v>256.7721518987342</x:v>
      </x:c>
      <x:c r="I450" s="17" t="str">
        <x:v>Precificado</x:v>
      </x:c>
    </x:row>
    <x:row r="451">
      <x:c r="A451" s="16" t="n">
        <x:v>451</x:v>
      </x:c>
      <x:c r="B451" s="21" t="str">
        <x:v>PS.000.213</x:v>
      </x:c>
      <x:c r="C451" s="57" t="str">
        <x:v>Perfil Toldo Box Completo KSet30 Bronze SiplanBZ1002 5M(e6m)(44505002)(kg=0,71m) Pct5f.SS 6M</x:v>
      </x:c>
      <x:c r="D451" s="21" t="str">
        <x:v>Bronze</x:v>
      </x:c>
      <x:c r="E451" s="24" t="n">
        <x:v>42.94</x:v>
      </x:c>
      <x:c r="F451" s="34" t="n">
        <x:v>0.71</x:v>
      </x:c>
      <x:c r="G451" s="21" t="str">
        <x:v>descricao</x:v>
      </x:c>
      <x:c r="H451" s="35" t="n">
        <x:f>IFERROR(E451/F451,"")</x:f>
        <x:v>60.478873239436616</x:v>
      </x:c>
      <x:c r="I451" s="17" t="str">
        <x:v>Precificado</x:v>
      </x:c>
    </x:row>
    <x:row r="452">
      <x:c r="A452" s="16" t="n">
        <x:v>452</x:v>
      </x:c>
      <x:c r="B452" s="21" t="str">
        <x:v>PS.000.214</x:v>
      </x:c>
      <x:c r="C452" s="57" t="str">
        <x:v>Perfil Toldo Box Completo KSet30 Bronze SiplanBZ1002 6M (e 5m) (44506002)(kg=0,164m) Pct6f F1286 f0234</x:v>
      </x:c>
      <x:c r="D452" s="21" t="str">
        <x:v>Bronze</x:v>
      </x:c>
      <x:c r="E452" s="24" t="n">
        <x:v>42.94</x:v>
      </x:c>
      <x:c r="F452" s="34" t="n">
        <x:v>0.164</x:v>
      </x:c>
      <x:c r="G452" s="21" t="str">
        <x:v>descricao</x:v>
      </x:c>
      <x:c r="H452" s="35" t="n">
        <x:f>IFERROR(E452/F452,"")</x:f>
        <x:v>261.8292682926829</x:v>
      </x:c>
      <x:c r="I452" s="17" t="str">
        <x:v>Precificado</x:v>
      </x:c>
    </x:row>
    <x:row r="453">
      <x:c r="A453" s="16" t="n">
        <x:v>453</x:v>
      </x:c>
      <x:c r="B453" s="21" t="str">
        <x:v>PS.000.166</x:v>
      </x:c>
      <x:c r="C453" s="57" t="str">
        <x:v>Perfil Toldo Box Completo KSet30 Preto 5M (e 6m)(44505009)(kg.=0,71m) Pct5f Q.A.SS 6M</x:v>
      </x:c>
      <x:c r="D453" s="21" t="str">
        <x:v>Preto</x:v>
      </x:c>
      <x:c r="E453" s="24" t="n">
        <x:v>39.74</x:v>
      </x:c>
      <x:c r="F453" s="34" t="n">
        <x:v>0.71</x:v>
      </x:c>
      <x:c r="G453" s="21" t="str">
        <x:v>descricao</x:v>
      </x:c>
      <x:c r="H453" s="35" t="n">
        <x:f>IFERROR(E453/F453,"")</x:f>
        <x:v>55.971830985915496</x:v>
      </x:c>
      <x:c r="I453" s="17" t="str">
        <x:v>Precificado</x:v>
      </x:c>
    </x:row>
    <x:row r="454">
      <x:c r="A454" s="16" t="n">
        <x:v>454</x:v>
      </x:c>
      <x:c r="B454" s="21" t="str">
        <x:v>PS.000.167</x:v>
      </x:c>
      <x:c r="C454" s="57" t="str">
        <x:v>Perfil Toldo Box Completo KSet30 Preto 6M(e5m)(44506009)(B)(1kg.=0,164m)Pct6f F1286f0234 (CP) (PF08/07)</x:v>
      </x:c>
      <x:c r="D454" s="21" t="str">
        <x:v>Preto</x:v>
      </x:c>
      <x:c r="E454" s="24" t="n">
        <x:v>39.74</x:v>
      </x:c>
      <x:c r="F454" s="34" t="n">
        <x:v>0.164</x:v>
      </x:c>
      <x:c r="G454" s="21" t="str">
        <x:v>descricao</x:v>
      </x:c>
      <x:c r="H454" s="35" t="n">
        <x:f>IFERROR(E454/F454,"")</x:f>
        <x:v>242.3170731707317</x:v>
      </x:c>
      <x:c r="I454" s="17" t="str">
        <x:v>Precificado</x:v>
      </x:c>
    </x:row>
    <x:row r="455">
      <x:c r="A455" s="16" t="n">
        <x:v>455</x:v>
      </x:c>
      <x:c r="B455" s="21" t="str">
        <x:v>4.5.077.001.1</x:v>
      </x:c>
      <x:c r="C455" s="57" t="str">
        <x:v>Perfil Toldo Braco Compacto A Branco Siplan 31366001-6m  {1kg.=xxxxm} Pct6f</x:v>
      </x:c>
      <x:c r="D455" s="21" t="str">
        <x:v>Branco</x:v>
      </x:c>
      <x:c r="E455" s="24" t="n">
        <x:v>40.57</x:v>
      </x:c>
      <x:c r="F455" s="34"/>
      <x:c r="G455" s="21" t="str">
        <x:v>sem-fator</x:v>
      </x:c>
      <x:c r="H455" s="35" t="str">
        <x:f>IFERROR(E455/F455,"")</x:f>
      </x:c>
      <x:c r="I455" s="17" t="str">
        <x:v>Pendente</x:v>
      </x:c>
    </x:row>
    <x:row r="456">
      <x:c r="A456" s="16" t="n">
        <x:v>456</x:v>
      </x:c>
      <x:c r="B456" s="21" t="str">
        <x:v>PS.000.410.1</x:v>
      </x:c>
      <x:c r="C456" s="57" t="str">
        <x:v>Perfil Toldo Braco Giro Fixo .Pintar 6,00M (52306050){1kg.=2,46m} ml}a  Pct6c PCT30M F1286</x:v>
      </x:c>
      <x:c r="D456" s="21" t="str">
        <x:v>Alumínio cru</x:v>
      </x:c>
      <x:c r="E456" s="24" t="n">
        <x:v>34.74</x:v>
      </x:c>
      <x:c r="F456" s="34" t="n">
        <x:v>2.46</x:v>
      </x:c>
      <x:c r="G456" s="21" t="str">
        <x:v>descricao</x:v>
      </x:c>
      <x:c r="H456" s="35" t="n">
        <x:f>IFERROR(E456/F456,"")</x:f>
        <x:v>14.121951219512196</x:v>
      </x:c>
      <x:c r="I456" s="17" t="str">
        <x:v>Precificado</x:v>
      </x:c>
    </x:row>
    <x:row r="457">
      <x:c r="A457" s="16" t="n">
        <x:v>457</x:v>
      </x:c>
      <x:c r="B457" s="21" t="str">
        <x:v>PS.000.409</x:v>
      </x:c>
      <x:c r="C457" s="57" t="str">
        <x:v>Perfil Toldo Braco Giro Fixo Branco Unilux9003 6M (52306001){1kg.=2,46m} Pct24f Pct6c )F1286 f0234</x:v>
      </x:c>
      <x:c r="D457" s="21" t="str">
        <x:v>Branco</x:v>
      </x:c>
      <x:c r="E457" s="24" t="n">
        <x:v>40.57</x:v>
      </x:c>
      <x:c r="F457" s="34" t="n">
        <x:v>2.46</x:v>
      </x:c>
      <x:c r="G457" s="21" t="str">
        <x:v>descricao</x:v>
      </x:c>
      <x:c r="H457" s="35" t="n">
        <x:f>IFERROR(E457/F457,"")</x:f>
        <x:v>16.491869918699187</x:v>
      </x:c>
      <x:c r="I457" s="17" t="str">
        <x:v>Precificado</x:v>
      </x:c>
    </x:row>
    <x:row r="458">
      <x:c r="A458" s="16" t="n">
        <x:v>458</x:v>
      </x:c>
      <x:c r="B458" s="21" t="str">
        <x:v>PS.000.415.</x:v>
      </x:c>
      <x:c r="C458" s="57" t="str">
        <x:v>Perfil Toldo Braco Giro Fixo Bronze SiplanBZ1002 6,00M (52306002){1kg.=2,46m} Pct24fF1286 f0234</x:v>
      </x:c>
      <x:c r="D458" s="21" t="str">
        <x:v>Bronze</x:v>
      </x:c>
      <x:c r="E458" s="24" t="n">
        <x:v>42.94</x:v>
      </x:c>
      <x:c r="F458" s="34" t="n">
        <x:v>2.46</x:v>
      </x:c>
      <x:c r="G458" s="21" t="str">
        <x:v>descricao</x:v>
      </x:c>
      <x:c r="H458" s="35" t="n">
        <x:f>IFERROR(E458/F458,"")</x:f>
        <x:v>17.455284552845526</x:v>
      </x:c>
      <x:c r="I458" s="17" t="str">
        <x:v>Precificado</x:v>
      </x:c>
    </x:row>
    <x:row r="459">
      <x:c r="A459" s="16" t="n">
        <x:v>459</x:v>
      </x:c>
      <x:c r="B459" s="21" t="str">
        <x:v>PS.000.415</x:v>
      </x:c>
      <x:c r="C459" s="57" t="str">
        <x:v>Perfil Toldo Braco Giro Fixo Bronze SiplanBZ1002 6M (52306002){1kg.=3,75m} Pct24f  q.a.ssPS.000.415.</x:v>
      </x:c>
      <x:c r="D459" s="21" t="str">
        <x:v>Bronze</x:v>
      </x:c>
      <x:c r="E459" s="24" t="n">
        <x:v>42.94</x:v>
      </x:c>
      <x:c r="F459" s="34" t="n">
        <x:v>3.75</x:v>
      </x:c>
      <x:c r="G459" s="21" t="str">
        <x:v>descricao</x:v>
      </x:c>
      <x:c r="H459" s="35" t="n">
        <x:f>IFERROR(E459/F459,"")</x:f>
        <x:v>11.450666666666667</x:v>
      </x:c>
      <x:c r="I459" s="17" t="str">
        <x:v>Precificado</x:v>
      </x:c>
    </x:row>
    <x:row r="460">
      <x:c r="A460" s="16" t="n">
        <x:v>460</x:v>
      </x:c>
      <x:c r="B460" s="21" t="str">
        <x:v>PS.000.410</x:v>
      </x:c>
      <x:c r="C460" s="57" t="str">
        <x:v>Perfil Toldo Braco Giro Fixo Preto 6M (52306009){1kg.=2,46m} 1Pct24f Pct6c F1286 f0234</x:v>
      </x:c>
      <x:c r="D460" s="21" t="str">
        <x:v>Preto</x:v>
      </x:c>
      <x:c r="E460" s="24" t="n">
        <x:v>39.74</x:v>
      </x:c>
      <x:c r="F460" s="34" t="n">
        <x:v>2.46</x:v>
      </x:c>
      <x:c r="G460" s="21" t="str">
        <x:v>descricao</x:v>
      </x:c>
      <x:c r="H460" s="35" t="n">
        <x:f>IFERROR(E460/F460,"")</x:f>
        <x:v>16.15447154471545</x:v>
      </x:c>
      <x:c r="I460" s="17" t="str">
        <x:v>Precificado</x:v>
      </x:c>
    </x:row>
    <x:row r="461">
      <x:c r="A461" s="16" t="n">
        <x:v>461</x:v>
      </x:c>
      <x:c r="B461" s="21" t="str">
        <x:v>PS.000.070</x:v>
      </x:c>
      <x:c r="C461" s="57" t="str">
        <x:v>Perfil Toldo Sust. 40X40X2mm (CH14) Branco 6M (90956001)1kg.=0,52m Pct6f4??? bc9003?</x:v>
      </x:c>
      <x:c r="D461" s="21" t="str">
        <x:v>Branco</x:v>
      </x:c>
      <x:c r="E461" s="24" t="n">
        <x:v>40.57</x:v>
      </x:c>
      <x:c r="F461" s="34" t="n">
        <x:v>0.52</x:v>
      </x:c>
      <x:c r="G461" s="21" t="str">
        <x:v>descricao</x:v>
      </x:c>
      <x:c r="H461" s="35" t="n">
        <x:f>IFERROR(E461/F461,"")</x:f>
        <x:v>78.01923076923077</x:v>
      </x:c>
      <x:c r="I461" s="17" t="str">
        <x:v>Precificado</x:v>
      </x:c>
    </x:row>
    <x:row r="462">
      <x:c r="A462" s="16" t="n">
        <x:v>462</x:v>
      </x:c>
      <x:c r="B462" s="21" t="str">
        <x:v>PS.000.370</x:v>
      </x:c>
      <x:c r="C462" s="57" t="str">
        <x:v>Perfil Toldo Sust. 40X40X2Mm (CH14) Bronze SiplanBZ1002  6,00M (90956002)Unico1kg.=0,52m Pct6f .)</x:v>
      </x:c>
      <x:c r="D462" s="21" t="str">
        <x:v>Bronze</x:v>
      </x:c>
      <x:c r="E462" s="24" t="n">
        <x:v>42.94</x:v>
      </x:c>
      <x:c r="F462" s="34" t="n">
        <x:v>0.52</x:v>
      </x:c>
      <x:c r="G462" s="21" t="str">
        <x:v>descricao</x:v>
      </x:c>
      <x:c r="H462" s="35" t="n">
        <x:f>IFERROR(E462/F462,"")</x:f>
        <x:v>82.57692307692307</x:v>
      </x:c>
      <x:c r="I462" s="17" t="str">
        <x:v>Precificado</x:v>
      </x:c>
    </x:row>
    <x:row r="463">
      <x:c r="A463" s="16" t="n">
        <x:v>463</x:v>
      </x:c>
      <x:c r="B463" s="21" t="str">
        <x:v>PS.000.203</x:v>
      </x:c>
      <x:c r="C463" s="57" t="str">
        <x:v>Perfil Toldo Sust. 40X40X2Mm (CH14) Bronze Uniluxbz1003 6,00M (90956002) 06/24 1kg.=0,52  duvida joel q.a.s.s.l</x:v>
      </x:c>
      <x:c r="D463" s="21" t="str">
        <x:v>Bronze</x:v>
      </x:c>
      <x:c r="E463" s="24" t="n">
        <x:v>42.94</x:v>
      </x:c>
      <x:c r="F463" s="34" t="n">
        <x:v>0.52</x:v>
      </x:c>
      <x:c r="G463" s="21" t="str">
        <x:v>descricao</x:v>
      </x:c>
      <x:c r="H463" s="35" t="n">
        <x:f>IFERROR(E463/F463,"")</x:f>
        <x:v>82.57692307692307</x:v>
      </x:c>
      <x:c r="I463" s="17" t="str">
        <x:v>Precificado</x:v>
      </x:c>
    </x:row>
    <x:row r="464">
      <x:c r="A464" s="16" t="n">
        <x:v>464</x:v>
      </x:c>
      <x:c r="B464" s="21" t="str">
        <x:v>PS.000.514</x:v>
      </x:c>
      <x:c r="C464" s="57" t="str">
        <x:v>Perfil Toldo Sust. 40X40X2Mm (CH14) Pintar 6,00M Galvanizado (90867009) 1kg.=0,52m ml}a Pct1</x:v>
      </x:c>
      <x:c r="D464" s="21" t="str">
        <x:v>Aço/outros</x:v>
      </x:c>
      <x:c r="E464" s="24" t="n">
        <x:v>20</x:v>
      </x:c>
      <x:c r="F464" s="34" t="n">
        <x:v>0.52</x:v>
      </x:c>
      <x:c r="G464" s="21" t="str">
        <x:v>descricao</x:v>
      </x:c>
      <x:c r="H464" s="35" t="n">
        <x:f>IFERROR(E464/F464,"")</x:f>
        <x:v>38.46153846153846</x:v>
      </x:c>
      <x:c r="I464" s="17" t="str">
        <x:v>Precificado</x:v>
      </x:c>
    </x:row>
    <x:row r="465">
      <x:c r="A465" s="16" t="n">
        <x:v>465</x:v>
      </x:c>
      <x:c r="B465" s="21" t="str">
        <x:v>PS.000.152</x:v>
      </x:c>
      <x:c r="C465" s="57" t="str">
        <x:v>Perfil Toldo Sust. 40X40X2Mm (CH14) Preto 6M(90956009) (B) kg=0,52m Pct6f)</x:v>
      </x:c>
      <x:c r="D465" s="21" t="str">
        <x:v>Preto</x:v>
      </x:c>
      <x:c r="E465" s="24" t="n">
        <x:v>39.74</x:v>
      </x:c>
      <x:c r="F465" s="34" t="n">
        <x:v>0.52</x:v>
      </x:c>
      <x:c r="G465" s="21" t="str">
        <x:v>descricao</x:v>
      </x:c>
      <x:c r="H465" s="35" t="n">
        <x:f>IFERROR(E465/F465,"")</x:f>
        <x:v>76.42307692307692</x:v>
      </x:c>
      <x:c r="I465" s="17" t="str">
        <x:v>Precificado</x:v>
      </x:c>
    </x:row>
    <x:row r="466">
      <x:c r="A466" s="16" t="n">
        <x:v>466</x:v>
      </x:c>
      <x:c r="B466" s="21" t="str">
        <x:v>PS.000.515</x:v>
      </x:c>
      <x:c r="C466" s="57" t="str">
        <x:v>Perfil Toldo Sust. 40X40X3,0Mm 6M Natural zincar (90867009) 1kg.=0,2793 mPct1 02/23</x:v>
      </x:c>
      <x:c r="D466" s="21" t="str">
        <x:v>Alumínio cru</x:v>
      </x:c>
      <x:c r="E466" s="24" t="n">
        <x:v>34.74</x:v>
      </x:c>
      <x:c r="F466" s="34" t="n">
        <x:v>0.2793</x:v>
      </x:c>
      <x:c r="G466" s="21" t="str">
        <x:v>descricao</x:v>
      </x:c>
      <x:c r="H466" s="35" t="n">
        <x:f>IFERROR(E466/F466,"")</x:f>
        <x:v>124.38238453276048</x:v>
      </x:c>
      <x:c r="I466" s="17" t="str">
        <x:v>Precificado</x:v>
      </x:c>
    </x:row>
    <x:row r="467">
      <x:c r="A467" s="16" t="n">
        <x:v>467</x:v>
      </x:c>
      <x:c r="B467" s="21" t="str">
        <x:v>PS.000.631</x:v>
      </x:c>
      <x:c r="C467" s="57" t="str">
        <x:v>Perfil Toldo Sust. 40X40X3,0Mm Branco 6,00M 12/24 (1kg.=0,2793m).) bc9003?</x:v>
      </x:c>
      <x:c r="D467" s="21" t="str">
        <x:v>Branco</x:v>
      </x:c>
      <x:c r="E467" s="24" t="n">
        <x:v>40.57</x:v>
      </x:c>
      <x:c r="F467" s="34" t="n">
        <x:v>0.2793</x:v>
      </x:c>
      <x:c r="G467" s="21" t="str">
        <x:v>descricao</x:v>
      </x:c>
      <x:c r="H467" s="35" t="n">
        <x:f>IFERROR(E467/F467,"")</x:f>
        <x:v>145.2559971356964</x:v>
      </x:c>
      <x:c r="I467" s="17" t="str">
        <x:v>Precificado</x:v>
      </x:c>
    </x:row>
    <x:row r="468">
      <x:c r="A468" s="16" t="n">
        <x:v>468</x:v>
      </x:c>
      <x:c r="B468" s="21" t="str">
        <x:v>PS.000.632</x:v>
      </x:c>
      <x:c r="C468" s="57" t="str">
        <x:v>Perfil Toldo Sust. 40X40X3,0Mm Bronze Uniluxbz1003 6,00M) q.a.ss 4.44.088.188.3 DUVIDA</x:v>
      </x:c>
      <x:c r="D468" s="21" t="str">
        <x:v>Bronze</x:v>
      </x:c>
      <x:c r="E468" s="24" t="n">
        <x:v>42.94</x:v>
      </x:c>
      <x:c r="F468" s="34" t="n">
        <x:v>0.2793</x:v>
      </x:c>
      <x:c r="G468" s="21" t="str">
        <x:v>perfil-equivalente</x:v>
      </x:c>
      <x:c r="H468" s="35" t="n">
        <x:f>IFERROR(E468/F468,"")</x:f>
        <x:v>153.74149659863946</x:v>
      </x:c>
      <x:c r="I468" s="17" t="str">
        <x:v>Precificado</x:v>
      </x:c>
    </x:row>
    <x:row r="469">
      <x:c r="A469" s="16" t="n">
        <x:v>469</x:v>
      </x:c>
      <x:c r="B469" s="21" t="str">
        <x:v>PS.000.513</x:v>
      </x:c>
      <x:c r="C469" s="57" t="str">
        <x:v>Perfil Toldo Sust. 40X40X3,0Mm PINTAR 6,00M Zincado (90867009 ) 1kg.=0,2793ml}a Pct1</x:v>
      </x:c>
      <x:c r="D469" s="21" t="str">
        <x:v>Aço/outros</x:v>
      </x:c>
      <x:c r="E469" s="24" t="n">
        <x:v>20</x:v>
      </x:c>
      <x:c r="F469" s="34" t="n">
        <x:v>0.2793</x:v>
      </x:c>
      <x:c r="G469" s="21" t="str">
        <x:v>descricao</x:v>
      </x:c>
      <x:c r="H469" s="35" t="n">
        <x:f>IFERROR(E469/F469,"")</x:f>
        <x:v>71.6075904045829</x:v>
      </x:c>
      <x:c r="I469" s="17" t="str">
        <x:v>Precificado</x:v>
      </x:c>
    </x:row>
    <x:row r="470">
      <x:c r="A470" s="16" t="n">
        <x:v>470</x:v>
      </x:c>
      <x:c r="B470" s="21" t="str">
        <x:v>PS.000.243</x:v>
      </x:c>
      <x:c r="C470" s="57" t="str">
        <x:v>Perfil Toldo Sust. 40X40X3,0Mm Preto 6,00M (90867009 ) 1kg.=0,2793m Pct1 .)</x:v>
      </x:c>
      <x:c r="D470" s="21" t="str">
        <x:v>Preto</x:v>
      </x:c>
      <x:c r="E470" s="24" t="n">
        <x:v>39.74</x:v>
      </x:c>
      <x:c r="F470" s="34" t="n">
        <x:v>0.2793</x:v>
      </x:c>
      <x:c r="G470" s="21" t="str">
        <x:v>descricao</x:v>
      </x:c>
      <x:c r="H470" s="35" t="n">
        <x:f>IFERROR(E470/F470,"")</x:f>
        <x:v>142.2842821339062</x:v>
      </x:c>
      <x:c r="I470" s="17" t="str">
        <x:v>Precificado</x:v>
      </x:c>
    </x:row>
    <x:row r="471">
      <x:c r="A471" s="16" t="n">
        <x:v>471</x:v>
      </x:c>
      <x:c r="B471" s="21" t="str">
        <x:v>4.5.046.199.1</x:v>
      </x:c>
      <x:c r="C471" s="57" t="str">
        <x:v>Perfil Toldo Teto 270Mm .Pintar ESAF4202-6m {1kg.=0,48614m}</x:v>
      </x:c>
      <x:c r="D471" s="21" t="str">
        <x:v>Alumínio cru</x:v>
      </x:c>
      <x:c r="E471" s="24" t="n">
        <x:v>34.74</x:v>
      </x:c>
      <x:c r="F471" s="34" t="n">
        <x:v>0.48614</x:v>
      </x:c>
      <x:c r="G471" s="21" t="str">
        <x:v>descricao</x:v>
      </x:c>
      <x:c r="H471" s="35" t="n">
        <x:f>IFERROR(E471/F471,"")</x:f>
        <x:v>71.4608960381783</x:v>
      </x:c>
      <x:c r="I471" s="17" t="str">
        <x:v>Precificado</x:v>
      </x:c>
    </x:row>
    <x:row r="472">
      <x:c r="A472" s="16" t="n">
        <x:v>472</x:v>
      </x:c>
      <x:c r="B472" s="21" t="str">
        <x:v>PS.000.236</x:v>
      </x:c>
      <x:c r="C472" s="57" t="str">
        <x:v>Perfil Toldo Teto 270Mm Branco Siplan 6,00m (e 7m) (92706001)1kg.= 0,413m Pct1  largS.S 4202 $270</x:v>
      </x:c>
      <x:c r="D472" s="21" t="str">
        <x:v>Branco</x:v>
      </x:c>
      <x:c r="E472" s="24" t="n">
        <x:v>40.57</x:v>
      </x:c>
      <x:c r="F472" s="34" t="n">
        <x:v>0.413</x:v>
      </x:c>
      <x:c r="G472" s="21" t="str">
        <x:v>descricao</x:v>
      </x:c>
      <x:c r="H472" s="35" t="n">
        <x:f>IFERROR(E472/F472,"")</x:f>
        <x:v>98.23244552058112</x:v>
      </x:c>
      <x:c r="I472" s="17" t="str">
        <x:v>Precificado</x:v>
      </x:c>
    </x:row>
    <x:row r="473">
      <x:c r="A473" s="16" t="n">
        <x:v>473</x:v>
      </x:c>
      <x:c r="B473" s="21" t="str">
        <x:v>4.5.046.15901374.1</x:v>
      </x:c>
      <x:c r="C473" s="57" t="str">
        <x:v>Perfil Toldo Teto 270Mm Branco Siplan ES4202-6m {1kg.=0,486145m}f0234 c.q.a   .270</x:v>
      </x:c>
      <x:c r="D473" s="21" t="str">
        <x:v>Branco</x:v>
      </x:c>
      <x:c r="E473" s="24" t="n">
        <x:v>40.57</x:v>
      </x:c>
      <x:c r="F473" s="34" t="n">
        <x:v>0.486145</x:v>
      </x:c>
      <x:c r="G473" s="21" t="str">
        <x:v>descricao</x:v>
      </x:c>
      <x:c r="H473" s="35" t="n">
        <x:f>IFERROR(E473/F473,"")</x:f>
        <x:v>83.45246788509601</x:v>
      </x:c>
      <x:c r="I473" s="17" t="str">
        <x:v>Precificado</x:v>
      </x:c>
    </x:row>
    <x:row r="474">
      <x:c r="A474" s="16" t="n">
        <x:v>474</x:v>
      </x:c>
      <x:c r="B474" s="21" t="str">
        <x:v>PS.000.659</x:v>
      </x:c>
      <x:c r="C474" s="57" t="str">
        <x:v>Perfil Toldo Teto 270Mm Branco Unilux9003 7m (6m) (92707001) 1kg.=0,413m Pct1Q.A.S.S 4202v$270</x:v>
      </x:c>
      <x:c r="D474" s="21" t="str">
        <x:v>Branco</x:v>
      </x:c>
      <x:c r="E474" s="24" t="n">
        <x:v>40.57</x:v>
      </x:c>
      <x:c r="F474" s="34" t="n">
        <x:v>0.413</x:v>
      </x:c>
      <x:c r="G474" s="21" t="str">
        <x:v>descricao</x:v>
      </x:c>
      <x:c r="H474" s="35" t="n">
        <x:f>IFERROR(E474/F474,"")</x:f>
        <x:v>98.23244552058112</x:v>
      </x:c>
      <x:c r="I474" s="17" t="str">
        <x:v>Precificado</x:v>
      </x:c>
    </x:row>
    <x:row r="475">
      <x:c r="A475" s="16" t="n">
        <x:v>475</x:v>
      </x:c>
      <x:c r="B475" s="21" t="str">
        <x:v>4.5.046.001.1</x:v>
      </x:c>
      <x:c r="C475" s="57" t="str">
        <x:v>Perfil Toldo Teto 270Mm Branco UniluxB2011 ESAF4202-6m {1kg.=0,486145m} q.a.ss 15901374   ...270</x:v>
      </x:c>
      <x:c r="D475" s="21" t="str">
        <x:v>Branco</x:v>
      </x:c>
      <x:c r="E475" s="24" t="n">
        <x:v>40.57</x:v>
      </x:c>
      <x:c r="F475" s="34" t="n">
        <x:v>0.486145</x:v>
      </x:c>
      <x:c r="G475" s="21" t="str">
        <x:v>descricao</x:v>
      </x:c>
      <x:c r="H475" s="35" t="n">
        <x:f>IFERROR(E475/F475,"")</x:f>
        <x:v>83.45246788509601</x:v>
      </x:c>
      <x:c r="I475" s="17" t="str">
        <x:v>Precificado</x:v>
      </x:c>
    </x:row>
    <x:row r="476">
      <x:c r="A476" s="16" t="n">
        <x:v>476</x:v>
      </x:c>
      <x:c r="B476" s="21" t="str">
        <x:v>PS.000.327.1</x:v>
      </x:c>
      <x:c r="C476" s="57" t="str">
        <x:v>Perfil Toldo Teto 270Mm Bronze SiplanBZ1002 5,00m (e 7m) (92705002) {1kg.= 0,413m}Q.A.S.S. 4202 6m</x:v>
      </x:c>
      <x:c r="D476" s="21" t="str">
        <x:v>Bronze</x:v>
      </x:c>
      <x:c r="E476" s="24" t="n">
        <x:v>42.94</x:v>
      </x:c>
      <x:c r="F476" s="34" t="n">
        <x:v>0.413</x:v>
      </x:c>
      <x:c r="G476" s="21" t="str">
        <x:v>descricao</x:v>
      </x:c>
      <x:c r="H476" s="35" t="n">
        <x:f>IFERROR(E476/F476,"")</x:f>
        <x:v>103.97094430992736</x:v>
      </x:c>
      <x:c r="I476" s="17" t="str">
        <x:v>Precificado</x:v>
      </x:c>
    </x:row>
    <x:row r="477">
      <x:c r="A477" s="16" t="n">
        <x:v>477</x:v>
      </x:c>
      <x:c r="B477" s="21" t="str">
        <x:v>PS.000.260</x:v>
      </x:c>
      <x:c r="C477" s="57" t="str">
        <x:v>Perfil Toldo Teto 270Mm Bronze SiplanBZ1002 7,00m (92707002) 1kg.= 0,413m Pct1.ss 4202</x:v>
      </x:c>
      <x:c r="D477" s="21" t="str">
        <x:v>Bronze</x:v>
      </x:c>
      <x:c r="E477" s="24" t="n">
        <x:v>42.94</x:v>
      </x:c>
      <x:c r="F477" s="34" t="n">
        <x:v>0.413</x:v>
      </x:c>
      <x:c r="G477" s="21" t="str">
        <x:v>descricao</x:v>
      </x:c>
      <x:c r="H477" s="35" t="n">
        <x:f>IFERROR(E477/F477,"")</x:f>
        <x:v>103.97094430992736</x:v>
      </x:c>
      <x:c r="I477" s="17" t="str">
        <x:v>Precificado</x:v>
      </x:c>
    </x:row>
    <x:row r="478">
      <x:c r="A478" s="16" t="n">
        <x:v>478</x:v>
      </x:c>
      <x:c r="B478" s="21" t="str">
        <x:v>4.5.046.188.1</x:v>
      </x:c>
      <x:c r="C478" s="57" t="str">
        <x:v>Perfil Toldo Teto 270Mm Bronze SiplanBZ1002 ES4202-6m {1kg.=0,486145m}</x:v>
      </x:c>
      <x:c r="D478" s="21" t="str">
        <x:v>Bronze</x:v>
      </x:c>
      <x:c r="E478" s="24" t="n">
        <x:v>42.94</x:v>
      </x:c>
      <x:c r="F478" s="34" t="n">
        <x:v>0.486145</x:v>
      </x:c>
      <x:c r="G478" s="21" t="str">
        <x:v>descricao</x:v>
      </x:c>
      <x:c r="H478" s="35" t="n">
        <x:f>IFERROR(E478/F478,"")</x:f>
        <x:v>88.3275565931975</x:v>
      </x:c>
      <x:c r="I478" s="17" t="str">
        <x:v>Precificado</x:v>
      </x:c>
    </x:row>
    <x:row r="479">
      <x:c r="A479" s="16" t="n">
        <x:v>479</x:v>
      </x:c>
      <x:c r="B479" s="21" t="str">
        <x:v>PS.000.600</x:v>
      </x:c>
      <x:c r="C479" s="57" t="str">
        <x:v>Perfil Toldo Teto 270Mm Preto 6,00m   q.a.f.l lar {1kg.= 0,413m}Q.A.S.S 4202</x:v>
      </x:c>
      <x:c r="D479" s="21" t="str">
        <x:v>Preto</x:v>
      </x:c>
      <x:c r="E479" s="24" t="n">
        <x:v>39.74</x:v>
      </x:c>
      <x:c r="F479" s="34" t="n">
        <x:v>0.413</x:v>
      </x:c>
      <x:c r="G479" s="21" t="str">
        <x:v>descricao</x:v>
      </x:c>
      <x:c r="H479" s="35" t="n">
        <x:f>IFERROR(E479/F479,"")</x:f>
        <x:v>96.2227602905569</x:v>
      </x:c>
      <x:c r="I479" s="17" t="str">
        <x:v>Precificado</x:v>
      </x:c>
    </x:row>
    <x:row r="480">
      <x:c r="A480" s="16" t="n">
        <x:v>480</x:v>
      </x:c>
      <x:c r="B480" s="21" t="str">
        <x:v>4.5.046.162.1</x:v>
      </x:c>
      <x:c r="C480" s="57" t="str">
        <x:v>Perfil Toldo Teto 270Mm Preto ESAF4202-6m {1kg.=0,486145m}</x:v>
      </x:c>
      <x:c r="D480" s="21" t="str">
        <x:v>Preto</x:v>
      </x:c>
      <x:c r="E480" s="24" t="n">
        <x:v>39.74</x:v>
      </x:c>
      <x:c r="F480" s="34" t="n">
        <x:v>0.486145</x:v>
      </x:c>
      <x:c r="G480" s="21" t="str">
        <x:v>descricao</x:v>
      </x:c>
      <x:c r="H480" s="35" t="n">
        <x:f>IFERROR(E480/F480,"")</x:f>
        <x:v>81.74515833753304</x:v>
      </x:c>
      <x:c r="I480" s="17" t="str">
        <x:v>Precificado</x:v>
      </x:c>
    </x:row>
    <x:row r="481">
      <x:c r="A481" s="16" t="n">
        <x:v>481</x:v>
      </x:c>
      <x:c r="B481" s="21" t="str">
        <x:v>PS.000.407</x:v>
      </x:c>
      <x:c r="C481" s="57" t="str">
        <x:v>Perfil Toldo Tubo Aco quadrado 35x35x1.25mm galvanizado 6,00m 09/23 1kg.=</x:v>
      </x:c>
      <x:c r="D481" s="21" t="str">
        <x:v>Aço/outros</x:v>
      </x:c>
      <x:c r="E481" s="24" t="n">
        <x:v>20</x:v>
      </x:c>
      <x:c r="F481" s="34"/>
      <x:c r="G481" s="21" t="str">
        <x:v>sem-fator</x:v>
      </x:c>
      <x:c r="H481" s="35" t="str">
        <x:f>IFERROR(E481/F481,"")</x:f>
      </x:c>
      <x:c r="I481" s="17" t="str">
        <x:v>Pendente</x:v>
      </x:c>
    </x:row>
    <x:row r="482">
      <x:c r="A482" s="16" t="n">
        <x:v>482</x:v>
      </x:c>
      <x:c r="B482" s="21" t="str">
        <x:v>PS.000.506</x:v>
      </x:c>
      <x:c r="C482" s="57" t="str">
        <x:v>Perfil ToldoRollPro Teto Protecao150mm .Pintar TMR4243-6M (kg=1,049) ml}a</x:v>
      </x:c>
      <x:c r="D482" s="21" t="str">
        <x:v>Alumínio cru</x:v>
      </x:c>
      <x:c r="E482" s="24" t="n">
        <x:v>34.74</x:v>
      </x:c>
      <x:c r="F482" s="34" t="n">
        <x:v>1.049</x:v>
      </x:c>
      <x:c r="G482" s="21" t="str">
        <x:v>descricao</x:v>
      </x:c>
      <x:c r="H482" s="35" t="n">
        <x:f>IFERROR(E482/F482,"")</x:f>
        <x:v>33.117254528122025</x:v>
      </x:c>
      <x:c r="I482" s="17" t="str">
        <x:v>Precificado</x:v>
      </x:c>
    </x:row>
    <x:row r="483">
      <x:c r="A483" s="16" t="n">
        <x:v>483</x:v>
      </x:c>
      <x:c r="B483" s="21" t="str">
        <x:v>4.17.046.15901374.1</x:v>
      </x:c>
      <x:c r="C483" s="57" t="str">
        <x:v>Perfil ToldoRollPro Teto Protecao150mm Branco Siplan TMR4243-6M (1kg.=1,049m ) unico u.q.a ps.000.507..xx</x:v>
      </x:c>
      <x:c r="D483" s="21" t="str">
        <x:v>Branco</x:v>
      </x:c>
      <x:c r="E483" s="24" t="n">
        <x:v>40.57</x:v>
      </x:c>
      <x:c r="F483" s="34" t="n">
        <x:v>1.049</x:v>
      </x:c>
      <x:c r="G483" s="21" t="str">
        <x:v>descricao</x:v>
      </x:c>
      <x:c r="H483" s="35" t="n">
        <x:f>IFERROR(E483/F483,"")</x:f>
        <x:v>38.67492850333652</x:v>
      </x:c>
      <x:c r="I483" s="17" t="str">
        <x:v>Precificado</x:v>
      </x:c>
    </x:row>
    <x:row r="484">
      <x:c r="A484" s="16" t="n">
        <x:v>484</x:v>
      </x:c>
      <x:c r="B484" s="21" t="str">
        <x:v>PS.000.507</x:v>
      </x:c>
      <x:c r="C484" s="57" t="str">
        <x:v>Perfil ToldoRollPro Teto Protecao150mm Branco-9003 TMR4243-6M (1kg.=1,049m ) q.a.ss nova cor4.17.046.15901374.1..xx</x:v>
      </x:c>
      <x:c r="D484" s="21" t="str">
        <x:v>Branco</x:v>
      </x:c>
      <x:c r="E484" s="24" t="n">
        <x:v>40.57</x:v>
      </x:c>
      <x:c r="F484" s="34" t="n">
        <x:v>1.049</x:v>
      </x:c>
      <x:c r="G484" s="21" t="str">
        <x:v>descricao</x:v>
      </x:c>
      <x:c r="H484" s="35" t="n">
        <x:f>IFERROR(E484/F484,"")</x:f>
        <x:v>38.67492850333652</x:v>
      </x:c>
      <x:c r="I484" s="17" t="str">
        <x:v>Precificado</x:v>
      </x:c>
    </x:row>
    <x:row r="485">
      <x:c r="A485" s="16" t="n">
        <x:v>485</x:v>
      </x:c>
      <x:c r="B485" s="21" t="str">
        <x:v>PS.000.508.1</x:v>
      </x:c>
      <x:c r="C485" s="57" t="str">
        <x:v>Perfil ToldoRollPro Teto Protecao150mm Bronze SiplanBZ1002 TMR4243-6M (kg.=1,049m)</x:v>
      </x:c>
      <x:c r="D485" s="21" t="str">
        <x:v>Bronze</x:v>
      </x:c>
      <x:c r="E485" s="24" t="n">
        <x:v>42.94</x:v>
      </x:c>
      <x:c r="F485" s="34" t="n">
        <x:v>1.049</x:v>
      </x:c>
      <x:c r="G485" s="21" t="str">
        <x:v>descricao</x:v>
      </x:c>
      <x:c r="H485" s="35" t="n">
        <x:f>IFERROR(E485/F485,"")</x:f>
        <x:v>40.93422306959009</x:v>
      </x:c>
      <x:c r="I485" s="17" t="str">
        <x:v>Precificado</x:v>
      </x:c>
    </x:row>
    <x:row r="486">
      <x:c r="A486" s="16" t="n">
        <x:v>486</x:v>
      </x:c>
      <x:c r="B486" s="21" t="str">
        <x:v>PS.000.508</x:v>
      </x:c>
      <x:c r="C486" s="57" t="str">
        <x:v>Perfil ToldoRollPro Teto Protecao150mm Bronze Uniluxbz1003 TMR4243-6M (1kg.=1,049m)</x:v>
      </x:c>
      <x:c r="D486" s="21" t="str">
        <x:v>Bronze</x:v>
      </x:c>
      <x:c r="E486" s="24" t="n">
        <x:v>42.94</x:v>
      </x:c>
      <x:c r="F486" s="34" t="n">
        <x:v>1.049</x:v>
      </x:c>
      <x:c r="G486" s="21" t="str">
        <x:v>descricao</x:v>
      </x:c>
      <x:c r="H486" s="35" t="n">
        <x:f>IFERROR(E486/F486,"")</x:f>
        <x:v>40.93422306959009</x:v>
      </x:c>
      <x:c r="I486" s="17" t="str">
        <x:v>Precificado</x:v>
      </x:c>
    </x:row>
    <x:row r="487">
      <x:c r="A487" s="16" t="n">
        <x:v>487</x:v>
      </x:c>
      <x:c r="B487" s="21" t="str">
        <x:v>PS.000.509</x:v>
      </x:c>
      <x:c r="C487" s="57" t="str">
        <x:v>Perfil ToldoRollPro Teto Protecao150mm Preto TMR4243-6M (kg=1,049m)</x:v>
      </x:c>
      <x:c r="D487" s="21" t="str">
        <x:v>Preto</x:v>
      </x:c>
      <x:c r="E487" s="24" t="n">
        <x:v>39.74</x:v>
      </x:c>
      <x:c r="F487" s="34" t="n">
        <x:v>1.049</x:v>
      </x:c>
      <x:c r="G487" s="21" t="str">
        <x:v>descricao</x:v>
      </x:c>
      <x:c r="H487" s="35" t="n">
        <x:f>IFERROR(E487/F487,"")</x:f>
        <x:v>37.883698760724506</x:v>
      </x:c>
      <x:c r="I487" s="17" t="str">
        <x:v>Precificado</x:v>
      </x:c>
    </x:row>
    <x:row r="488">
      <x:c r="A488" s="16" t="n">
        <x:v>488</x:v>
      </x:c>
      <x:c r="B488" s="21" t="str">
        <x:v>PS.000.005</x:v>
      </x:c>
      <x:c r="C488" s="57" t="str">
        <x:v>Perfil ToldoRollPro Tubo Aco 70Mm Cru 4,00M (5m, 6m e 7m) (90704050) (B) F1286</x:v>
      </x:c>
      <x:c r="D488" s="21" t="str">
        <x:v>Aço/outros</x:v>
      </x:c>
      <x:c r="E488" s="24" t="n">
        <x:v>20</x:v>
      </x:c>
      <x:c r="F488" s="34"/>
      <x:c r="G488" s="21" t="str">
        <x:v>sem-fator</x:v>
      </x:c>
      <x:c r="H488" s="35" t="str">
        <x:f>IFERROR(E488/F488,"")</x:f>
      </x:c>
      <x:c r="I488" s="17" t="str">
        <x:v>Pendente</x:v>
      </x:c>
    </x:row>
    <x:row r="489">
      <x:c r="A489" s="16" t="n">
        <x:v>489</x:v>
      </x:c>
      <x:c r="B489" s="21" t="str">
        <x:v>PS.000.006</x:v>
      </x:c>
      <x:c r="C489" s="57" t="str">
        <x:v>Perfil ToldoRollPro Tubo Aco 70Mm Cru 5,00M (4m, 6m e 7m) (90705050)q.a.ss 4m</x:v>
      </x:c>
      <x:c r="D489" s="21" t="str">
        <x:v>Aço/outros</x:v>
      </x:c>
      <x:c r="E489" s="24" t="n">
        <x:v>20</x:v>
      </x:c>
      <x:c r="F489" s="34"/>
      <x:c r="G489" s="21" t="str">
        <x:v>sem-fator</x:v>
      </x:c>
      <x:c r="H489" s="35" t="str">
        <x:f>IFERROR(E489/F489,"")</x:f>
      </x:c>
      <x:c r="I489" s="17" t="str">
        <x:v>Pendente</x:v>
      </x:c>
    </x:row>
    <x:row r="490">
      <x:c r="A490" s="16" t="n">
        <x:v>490</x:v>
      </x:c>
      <x:c r="B490" s="21" t="str">
        <x:v>PS.000.007</x:v>
      </x:c>
      <x:c r="C490" s="57" t="str">
        <x:v>Perfil ToldoRollPro Tubo Aco 70Mm Cru 6,00M (4m, 5m e 7m) (90706050) (B) q.a.ss 4m</x:v>
      </x:c>
      <x:c r="D490" s="21" t="str">
        <x:v>Aço/outros</x:v>
      </x:c>
      <x:c r="E490" s="24" t="n">
        <x:v>20</x:v>
      </x:c>
      <x:c r="F490" s="34"/>
      <x:c r="G490" s="21" t="str">
        <x:v>sem-fator</x:v>
      </x:c>
      <x:c r="H490" s="35" t="str">
        <x:f>IFERROR(E490/F490,"")</x:f>
      </x:c>
      <x:c r="I490" s="17" t="str">
        <x:v>Pendente</x:v>
      </x:c>
    </x:row>
    <x:row r="491">
      <x:c r="A491" s="16" t="n">
        <x:v>491</x:v>
      </x:c>
      <x:c r="B491" s="21" t="str">
        <x:v>PS.000.008</x:v>
      </x:c>
      <x:c r="C491" s="57" t="str">
        <x:v>Perfil ToldoRollPro Tubo Aco 70Mm Cru 7,00M (4m, 5m e 6m) (90707050) q.a.ss 4m</x:v>
      </x:c>
      <x:c r="D491" s="21" t="str">
        <x:v>Aço/outros</x:v>
      </x:c>
      <x:c r="E491" s="24" t="n">
        <x:v>20</x:v>
      </x:c>
      <x:c r="F491" s="34"/>
      <x:c r="G491" s="21" t="str">
        <x:v>sem-fator</x:v>
      </x:c>
      <x:c r="H491" s="35" t="str">
        <x:f>IFERROR(E491/F491,"")</x:f>
      </x:c>
      <x:c r="I491" s="17" t="str">
        <x:v>Pendente</x:v>
      </x:c>
    </x:row>
    <x:row r="492">
      <x:c r="A492" s="16" t="n">
        <x:v>492</x:v>
      </x:c>
      <x:c r="B492" s="21" t="str">
        <x:v>PS.000.025</x:v>
      </x:c>
      <x:c r="C492" s="57" t="str">
        <x:v>Perfil ToldoRollPro Tubo Aco 80Mm Cru 5,00M (90805050) (A) 1kg.=0,515 Pct120mf Pct5m F1286</x:v>
      </x:c>
      <x:c r="D492" s="21" t="str">
        <x:v>Aço/outros</x:v>
      </x:c>
      <x:c r="E492" s="24" t="n">
        <x:v>20</x:v>
      </x:c>
      <x:c r="F492" s="34" t="n">
        <x:v>0.515</x:v>
      </x:c>
      <x:c r="G492" s="21" t="str">
        <x:v>descricao</x:v>
      </x:c>
      <x:c r="H492" s="35" t="n">
        <x:f>IFERROR(E492/F492,"")</x:f>
        <x:v>38.83495145631068</x:v>
      </x:c>
      <x:c r="I492" s="17" t="str">
        <x:v>Precificado</x:v>
      </x:c>
    </x:row>
    <x:row r="493">
      <x:c r="A493" s="16" t="n">
        <x:v>493</x:v>
      </x:c>
      <x:c r="B493" s="21" t="str">
        <x:v>C.CORT.500.0052</x:v>
      </x:c>
      <x:c r="C493" s="57" t="str">
        <x:v>Perfil Trilho de cortina Branco (CC1001-W/ESAF-4079) 6m/5,8m pct87f 02/25 (A) (1kg.=3,115m)</x:v>
      </x:c>
      <x:c r="D493" s="21" t="str">
        <x:v>Branco</x:v>
      </x:c>
      <x:c r="E493" s="24" t="n">
        <x:v>40.57</x:v>
      </x:c>
      <x:c r="F493" s="34" t="n">
        <x:v>3.115</x:v>
      </x:c>
      <x:c r="G493" s="21" t="str">
        <x:v>descricao</x:v>
      </x:c>
      <x:c r="H493" s="35" t="n">
        <x:f>IFERROR(E493/F493,"")</x:f>
        <x:v>13.024077046548955</x:v>
      </x:c>
      <x:c r="I493" s="17" t="str">
        <x:v>Precificado</x:v>
      </x:c>
    </x:row>
    <x:row r="494">
      <x:c r="A494" s="16" t="n">
        <x:v>494</x:v>
      </x:c>
      <x:c r="B494" s="21" t="str">
        <x:v>C.CORT.500.0051</x:v>
      </x:c>
      <x:c r="C494" s="57" t="str">
        <x:v>Perfil Trilho de cortina Preto (CC1001-BK/ESAF-4079) 6m/5,8m pct87f 02/25 (1kg.=3,115m)</x:v>
      </x:c>
      <x:c r="D494" s="21" t="str">
        <x:v>Preto</x:v>
      </x:c>
      <x:c r="E494" s="24" t="n">
        <x:v>39.74</x:v>
      </x:c>
      <x:c r="F494" s="34" t="n">
        <x:v>3.115</x:v>
      </x:c>
      <x:c r="G494" s="21" t="str">
        <x:v>descricao</x:v>
      </x:c>
      <x:c r="H494" s="35" t="n">
        <x:f>IFERROR(E494/F494,"")</x:f>
        <x:v>12.757624398073837</x:v>
      </x:c>
      <x:c r="I494" s="17" t="str">
        <x:v>Precificado</x:v>
      </x:c>
    </x:row>
    <x:row r="495">
      <x:c r="A495" s="16" t="n">
        <x:v>495</x:v>
      </x:c>
      <x:c r="B495" s="21" t="str">
        <x:v>001.008.001.000.1</x:v>
      </x:c>
      <x:c r="C495" s="57" t="str">
        <x:v>Perfil Trilho de Vertical  (PM-1669) Branco bco {1kg.=3,702ml} (A) PCT72M ALPEX</x:v>
      </x:c>
      <x:c r="D495" s="21" t="str">
        <x:v>Branco</x:v>
      </x:c>
      <x:c r="E495" s="24" t="n">
        <x:v>40.57</x:v>
      </x:c>
      <x:c r="F495" s="34" t="n">
        <x:v>3.702</x:v>
      </x:c>
      <x:c r="G495" s="21" t="str">
        <x:v>descricao</x:v>
      </x:c>
      <x:c r="H495" s="35" t="n">
        <x:f>IFERROR(E495/F495,"")</x:f>
        <x:v>10.95894111291194</x:v>
      </x:c>
      <x:c r="I495" s="17" t="str">
        <x:v>Precificado</x:v>
      </x:c>
    </x:row>
    <x:row r="496">
      <x:c r="A496" s="16" t="n">
        <x:v>496</x:v>
      </x:c>
      <x:c r="B496" s="21" t="str">
        <x:v>001.008.001.000.4</x:v>
      </x:c>
      <x:c r="C496" s="57" t="str">
        <x:v>Perfil Trilho de Vertical pvt (PM-1669) PINTAR {1kg.=3,587444ml}a _F0791 F,,</x:v>
      </x:c>
      <x:c r="D496" s="21" t="str">
        <x:v>Alumínio cru</x:v>
      </x:c>
      <x:c r="E496" s="24" t="n">
        <x:v>34.74</x:v>
      </x:c>
      <x:c r="F496" s="34" t="n">
        <x:v>3.587444</x:v>
      </x:c>
      <x:c r="G496" s="21" t="str">
        <x:v>descricao</x:v>
      </x:c>
      <x:c r="H496" s="35" t="n">
        <x:f>IFERROR(E496/F496,"")</x:f>
        <x:v>9.683774854743378</x:v>
      </x:c>
      <x:c r="I496" s="17" t="str">
        <x:v>Precificado</x:v>
      </x:c>
    </x:row>
    <x:row r="497">
      <x:c r="A497" s="16" t="n">
        <x:v>497</x:v>
      </x:c>
      <x:c r="B497" s="21" t="str">
        <x:v>001.008.002.001.72</x:v>
      </x:c>
      <x:c r="C497" s="57" t="str">
        <x:v>Perfil Trilho Glydea (5583) Branco bco 4,0m (e6m) mw (1kg.=2,169ml) (B) PCT4m  (PC)q.a.s.s</x:v>
      </x:c>
      <x:c r="D497" s="21" t="str">
        <x:v>Branco</x:v>
      </x:c>
      <x:c r="E497" s="24" t="n">
        <x:v>40.57</x:v>
      </x:c>
      <x:c r="F497" s="34" t="n">
        <x:v>2.169</x:v>
      </x:c>
      <x:c r="G497" s="21" t="str">
        <x:v>descricao</x:v>
      </x:c>
      <x:c r="H497" s="35" t="n">
        <x:f>IFERROR(E497/F497,"")</x:f>
        <x:v>18.704472106961735</x:v>
      </x:c>
      <x:c r="I497" s="17" t="str">
        <x:v>Precificado</x:v>
      </x:c>
    </x:row>
    <x:row r="498">
      <x:c r="A498" s="16" t="n">
        <x:v>498</x:v>
      </x:c>
      <x:c r="B498" s="21" t="str">
        <x:v>001.008.002.001.54</x:v>
      </x:c>
      <x:c r="C498" s="57" t="str">
        <x:v>Perfil Trilho Glydea (5583) Branco bco 6,0m (e4m) mw (1kg.=2,169ml) PCT6m</x:v>
      </x:c>
      <x:c r="D498" s="21" t="str">
        <x:v>Branco</x:v>
      </x:c>
      <x:c r="E498" s="24" t="n">
        <x:v>40.57</x:v>
      </x:c>
      <x:c r="F498" s="34" t="n">
        <x:v>2.169</x:v>
      </x:c>
      <x:c r="G498" s="21" t="str">
        <x:v>descricao</x:v>
      </x:c>
      <x:c r="H498" s="35" t="n">
        <x:f>IFERROR(E498/F498,"")</x:f>
        <x:v>18.704472106961735</x:v>
      </x:c>
      <x:c r="I498" s="17" t="str">
        <x:v>Precificado</x:v>
      </x:c>
    </x:row>
    <x:row r="499">
      <x:c r="A499" s="16" t="n">
        <x:v>499</x:v>
      </x:c>
      <x:c r="B499" s="21" t="str">
        <x:v>001.008.002.001.51</x:v>
      </x:c>
      <x:c r="C499" s="57" t="str">
        <x:v>Perfil Trilho Glydea (5583) PINTAR 6m (mp) {1kg.=2,101ml}a F0791</x:v>
      </x:c>
      <x:c r="D499" s="21" t="str">
        <x:v>Alumínio cru</x:v>
      </x:c>
      <x:c r="E499" s="24" t="n">
        <x:v>34.74</x:v>
      </x:c>
      <x:c r="F499" s="34" t="n">
        <x:v>2.101</x:v>
      </x:c>
      <x:c r="G499" s="21" t="str">
        <x:v>descricao</x:v>
      </x:c>
      <x:c r="H499" s="35" t="n">
        <x:f>IFERROR(E499/F499,"")</x:f>
        <x:v>16.534983341266067</x:v>
      </x:c>
      <x:c r="I499" s="17" t="str">
        <x:v>Precificado</x:v>
      </x:c>
    </x:row>
    <x:row r="500">
      <x:c r="A500" s="16" t="n">
        <x:v>500</x:v>
      </x:c>
      <x:c r="B500" s="21" t="str">
        <x:v>002.069.001.000.17</x:v>
      </x:c>
      <x:c r="C500" s="57" t="str">
        <x:v>Perfil Trilho Glydea Estrudado Cor Branco (9026571 mot persi. 2/25.) (A) 1kg.= SOMFY Barra 6,30m PCT37,8M</x:v>
      </x:c>
      <x:c r="D500" s="21" t="str">
        <x:v>Branco</x:v>
      </x:c>
      <x:c r="E500" s="24" t="n">
        <x:v>40.57</x:v>
      </x:c>
      <x:c r="F500" s="34"/>
      <x:c r="G500" s="21" t="str">
        <x:v>sem-fator</x:v>
      </x:c>
      <x:c r="H500" s="35" t="str">
        <x:f>IFERROR(E500/F500,"")</x:f>
      </x:c>
      <x:c r="I500" s="17" t="str">
        <x:v>Pendente</x:v>
      </x:c>
    </x:row>
    <x:row r="501">
      <x:c r="A501" s="16" t="n">
        <x:v>501</x:v>
      </x:c>
      <x:c r="B501" s="21" t="str">
        <x:v>C.CORT.500.0001</x:v>
      </x:c>
      <x:c r="C501" s="57" t="str">
        <x:v>Perfil Trilho Maxi com Aba Branco Cod 10201  pct6 10/21 (cortina.)1kg.=</x:v>
      </x:c>
      <x:c r="D501" s="21" t="str">
        <x:v>Branco</x:v>
      </x:c>
      <x:c r="E501" s="24" t="n">
        <x:v>40.57</x:v>
      </x:c>
      <x:c r="F501" s="34"/>
      <x:c r="G501" s="21" t="str">
        <x:v>sem-fator</x:v>
      </x:c>
      <x:c r="H501" s="35" t="str">
        <x:f>IFERROR(E501/F501,"")</x:f>
      </x:c>
      <x:c r="I501" s="17" t="str">
        <x:v>Pendente</x:v>
      </x:c>
    </x:row>
    <x:row r="502">
      <x:c r="A502" s="16" t="n">
        <x:v>502</x:v>
      </x:c>
      <x:c r="B502" s="21" t="str">
        <x:v>4.41.049.001</x:v>
      </x:c>
      <x:c r="C502" s="57" t="str">
        <x:v>Perfil Trilho Maxi Simples Cortina Branco TS6-6m {1Kg.=12,98ml} pct102f</x:v>
      </x:c>
      <x:c r="D502" s="21" t="str">
        <x:v>Branco</x:v>
      </x:c>
      <x:c r="E502" s="24" t="n">
        <x:v>40.57</x:v>
      </x:c>
      <x:c r="F502" s="34" t="n">
        <x:v>12.98</x:v>
      </x:c>
      <x:c r="G502" s="21" t="str">
        <x:v>descricao</x:v>
      </x:c>
      <x:c r="H502" s="35" t="n">
        <x:f>IFERROR(E502/F502,"")</x:f>
        <x:v>3.12557781201849</x:v>
      </x:c>
      <x:c r="I502" s="17" t="str">
        <x:v>Precificado</x:v>
      </x:c>
    </x:row>
    <x:row r="503">
      <x:c r="A503" s="16" t="n">
        <x:v>503</x:v>
      </x:c>
      <x:c r="B503" s="21" t="str">
        <x:v>C.CORT.500.0017</x:v>
      </x:c>
      <x:c r="C503" s="57" t="str">
        <x:v>Perfil Trilho Maxi Triplo Branco Cod 10203 10/21 1kg.=</x:v>
      </x:c>
      <x:c r="D503" s="21" t="str">
        <x:v>Branco</x:v>
      </x:c>
      <x:c r="E503" s="24" t="n">
        <x:v>40.57</x:v>
      </x:c>
      <x:c r="F503" s="34"/>
      <x:c r="G503" s="21" t="str">
        <x:v>sem-fator</x:v>
      </x:c>
      <x:c r="H503" s="35" t="str">
        <x:f>IFERROR(E503/F503,"")</x:f>
      </x:c>
      <x:c r="I503" s="17" t="str">
        <x:v>Pendente</x:v>
      </x:c>
    </x:row>
    <x:row r="504">
      <x:c r="A504" s="16" t="n">
        <x:v>504</x:v>
      </x:c>
      <x:c r="B504" s="21" t="str">
        <x:v>PC.000.700</x:v>
      </x:c>
      <x:c r="C504" s="57" t="str">
        <x:v>Perfil Trilho mot redondo de 3vias 580cm VC30-58-T3-W 05/22 1kg.= SUBLIME Q.A.F.L</x:v>
      </x:c>
      <x:c r="D504" s="21" t="str">
        <x:v>Alumínio cru</x:v>
      </x:c>
      <x:c r="E504" s="24" t="n">
        <x:v>34.74</x:v>
      </x:c>
      <x:c r="F504" s="34"/>
      <x:c r="G504" s="21" t="str">
        <x:v>sem-fator</x:v>
      </x:c>
      <x:c r="H504" s="35" t="str">
        <x:f>IFERROR(E504/F504,"")</x:f>
      </x:c>
      <x:c r="I504" s="17" t="str">
        <x:v>Pendente</x:v>
      </x:c>
    </x:row>
    <x:row r="505">
      <x:c r="A505" s="16" t="n">
        <x:v>505</x:v>
      </x:c>
      <x:c r="B505" s="21" t="str">
        <x:v>002.069.001.000.T-360.1</x:v>
      </x:c>
      <x:c r="C505" s="57" t="str">
        <x:v>Perfil Trilho Movelite (REI.811/ALPEX6533) Branco bco 3,60m (e6m) cm10 {1kg.=1,894ml} PCT60M</x:v>
      </x:c>
      <x:c r="D505" s="21" t="str">
        <x:v>Branco</x:v>
      </x:c>
      <x:c r="E505" s="24" t="n">
        <x:v>40.57</x:v>
      </x:c>
      <x:c r="F505" s="34" t="n">
        <x:v>1.894</x:v>
      </x:c>
      <x:c r="G505" s="21" t="str">
        <x:v>descricao</x:v>
      </x:c>
      <x:c r="H505" s="35" t="n">
        <x:f>IFERROR(E505/F505,"")</x:f>
        <x:v>21.420274551214362</x:v>
      </x:c>
      <x:c r="I505" s="17" t="str">
        <x:v>Precificado</x:v>
      </x:c>
    </x:row>
    <x:row r="506">
      <x:c r="A506" s="16" t="n">
        <x:v>506</x:v>
      </x:c>
      <x:c r="B506" s="21" t="str">
        <x:v>002.069.001.000.T</x:v>
      </x:c>
      <x:c r="C506" s="57" t="str">
        <x:v>Perfil Trilho Movelite (REI.811/ALPEX6533) Branco bco 6m (e3,60m) {1kg.=1,894ml} (A) PCT60M</x:v>
      </x:c>
      <x:c r="D506" s="21" t="str">
        <x:v>Branco</x:v>
      </x:c>
      <x:c r="E506" s="24" t="n">
        <x:v>40.57</x:v>
      </x:c>
      <x:c r="F506" s="34" t="n">
        <x:v>1.894</x:v>
      </x:c>
      <x:c r="G506" s="21" t="str">
        <x:v>descricao</x:v>
      </x:c>
      <x:c r="H506" s="35" t="n">
        <x:f>IFERROR(E506/F506,"")</x:f>
        <x:v>21.420274551214362</x:v>
      </x:c>
      <x:c r="I506" s="17" t="str">
        <x:v>Precificado</x:v>
      </x:c>
    </x:row>
    <x:row r="507">
      <x:c r="A507" s="16" t="n">
        <x:v>507</x:v>
      </x:c>
      <x:c r="B507" s="21" t="str">
        <x:v>001.008.002.000.2__811.360</x:v>
      </x:c>
      <x:c r="C507" s="57" t="str">
        <x:v>Perfil Trilho Movelite (REI.811/ALPEX6533) PINTAR 3,60m {1Kg.=2,030075}a op899054</x:v>
      </x:c>
      <x:c r="D507" s="21" t="str">
        <x:v>Alumínio cru</x:v>
      </x:c>
      <x:c r="E507" s="24" t="n">
        <x:v>34.74</x:v>
      </x:c>
      <x:c r="F507" s="34" t="n">
        <x:v>2.030075</x:v>
      </x:c>
      <x:c r="G507" s="21" t="str">
        <x:v>descricao</x:v>
      </x:c>
      <x:c r="H507" s="35" t="n">
        <x:f>IFERROR(E507/F507,"")</x:f>
        <x:v>17.112668251172988</x:v>
      </x:c>
      <x:c r="I507" s="17" t="str">
        <x:v>Precificado</x:v>
      </x:c>
    </x:row>
    <x:row r="508">
      <x:c r="A508" s="16" t="n">
        <x:v>508</x:v>
      </x:c>
      <x:c r="B508" s="21" t="str">
        <x:v>001.008.002.000.2__811</x:v>
      </x:c>
      <x:c r="C508" s="57" t="str">
        <x:v>Perfil Trilho Movelite (REI.811/ALPEX6533) PINTAR 6m {1Kg.=2,035432ml}a op870717</x:v>
      </x:c>
      <x:c r="D508" s="21" t="str">
        <x:v>Alumínio cru</x:v>
      </x:c>
      <x:c r="E508" s="24" t="n">
        <x:v>34.74</x:v>
      </x:c>
      <x:c r="F508" s="34" t="n">
        <x:v>2.035432</x:v>
      </x:c>
      <x:c r="G508" s="21" t="str">
        <x:v>descricao</x:v>
      </x:c>
      <x:c r="H508" s="35" t="n">
        <x:f>IFERROR(E508/F508,"")</x:f>
        <x:v>17.067629869236605</x:v>
      </x:c>
      <x:c r="I508" s="17" t="str">
        <x:v>Precificado</x:v>
      </x:c>
    </x:row>
    <x:row r="509">
      <x:c r="A509" s="16" t="n">
        <x:v>509</x:v>
      </x:c>
      <x:c r="B509" s="21" t="str">
        <x:v>PC.000.391</x:v>
      </x:c>
      <x:c r="C509" s="57" t="str">
        <x:v>Perfil Tubo 30mm RTU-30/6479/ES-3934 Cru (A) (1kg.=3,31) PCT60 6M</x:v>
      </x:c>
      <x:c r="D509" s="21" t="str">
        <x:v>Alumínio cru</x:v>
      </x:c>
      <x:c r="E509" s="24" t="n">
        <x:v>34.74</x:v>
      </x:c>
      <x:c r="F509" s="34" t="n">
        <x:v>3.31</x:v>
      </x:c>
      <x:c r="G509" s="21" t="str">
        <x:v>descricao</x:v>
      </x:c>
      <x:c r="H509" s="35" t="n">
        <x:f>IFERROR(E509/F509,"")</x:f>
        <x:v>10.49546827794562</x:v>
      </x:c>
      <x:c r="I509" s="17" t="str">
        <x:v>Precificado</x:v>
      </x:c>
    </x:row>
    <x:row r="510">
      <x:c r="A510" s="16" t="n">
        <x:v>510</x:v>
      </x:c>
      <x:c r="B510" s="21" t="str">
        <x:v>PC.000.447</x:v>
      </x:c>
      <x:c r="C510" s="57" t="str">
        <x:v>Perfil Tubo 35mm (RTU-35/alpex6431) cru 6/21 (1kg.=2,23938) (A) PCT60m 01/20</x:v>
      </x:c>
      <x:c r="D510" s="21" t="str">
        <x:v>Alumínio cru</x:v>
      </x:c>
      <x:c r="E510" s="24" t="n">
        <x:v>34.74</x:v>
      </x:c>
      <x:c r="F510" s="34" t="n">
        <x:v>2.23938</x:v>
      </x:c>
      <x:c r="G510" s="21" t="str">
        <x:v>descricao</x:v>
      </x:c>
      <x:c r="H510" s="35" t="n">
        <x:f>IFERROR(E510/F510,"")</x:f>
        <x:v>15.513222409774134</x:v>
      </x:c>
      <x:c r="I510" s="17" t="str">
        <x:v>Precificado</x:v>
      </x:c>
    </x:row>
    <x:row r="511">
      <x:c r="A511" s="16" t="n">
        <x:v>511</x:v>
      </x:c>
      <x:c r="B511" s="21" t="str">
        <x:v>PC.000.671</x:v>
      </x:c>
      <x:c r="C511" s="57" t="str">
        <x:v>Perfil Tubo 38mm (RTU-38-2G/PM/A.6467-TMR4286) PINTAR 6/21 {1kg.=2,826m} PCT58 6m 01/20 (enro.)</x:v>
      </x:c>
      <x:c r="D511" s="21" t="str">
        <x:v>Alumínio cru</x:v>
      </x:c>
      <x:c r="E511" s="24" t="n">
        <x:v>34.74</x:v>
      </x:c>
      <x:c r="F511" s="34" t="n">
        <x:v>2.826</x:v>
      </x:c>
      <x:c r="G511" s="21" t="str">
        <x:v>descricao</x:v>
      </x:c>
      <x:c r="H511" s="35" t="n">
        <x:f>IFERROR(E511/F511,"")</x:f>
        <x:v>12.29299363057325</x:v>
      </x:c>
      <x:c r="I511" s="17" t="str">
        <x:v>Precificado</x:v>
      </x:c>
    </x:row>
    <x:row r="512">
      <x:c r="A512" s="16" t="n">
        <x:v>512</x:v>
      </x:c>
      <x:c r="B512" s="21" t="str">
        <x:v>PC.000.633</x:v>
      </x:c>
      <x:c r="C512" s="57" t="str">
        <x:v>Perfil Tubo 38mm bege A.6467/Esa4214-6M (B) (1kg.=2,863m)</x:v>
      </x:c>
      <x:c r="D512" s="21" t="str">
        <x:v>Bege</x:v>
      </x:c>
      <x:c r="E512" s="24" t="n">
        <x:v>44.39</x:v>
      </x:c>
      <x:c r="F512" s="34" t="n">
        <x:v>2.863</x:v>
      </x:c>
      <x:c r="G512" s="21" t="str">
        <x:v>descricao</x:v>
      </x:c>
      <x:c r="H512" s="35" t="n">
        <x:f>IFERROR(E512/F512,"")</x:f>
        <x:v>15.504715333566189</x:v>
      </x:c>
      <x:c r="I512" s="17" t="str">
        <x:v>Precificado</x:v>
      </x:c>
    </x:row>
    <x:row r="513">
      <x:c r="A513" s="16" t="n">
        <x:v>513</x:v>
      </x:c>
      <x:c r="B513" s="21" t="str">
        <x:v>PC.000.632</x:v>
      </x:c>
      <x:c r="C513" s="57" t="str">
        <x:v>Perfil Tubo 38mm Branco A.6467/Esa4214-6M (B) (1kg.=2,863m)</x:v>
      </x:c>
      <x:c r="D513" s="21" t="str">
        <x:v>Branco</x:v>
      </x:c>
      <x:c r="E513" s="24" t="n">
        <x:v>40.57</x:v>
      </x:c>
      <x:c r="F513" s="34" t="n">
        <x:v>2.863</x:v>
      </x:c>
      <x:c r="G513" s="21" t="str">
        <x:v>descricao</x:v>
      </x:c>
      <x:c r="H513" s="35" t="n">
        <x:f>IFERROR(E513/F513,"")</x:f>
        <x:v>14.170450576318547</x:v>
      </x:c>
      <x:c r="I513" s="17" t="str">
        <x:v>Precificado</x:v>
      </x:c>
    </x:row>
    <x:row r="514">
      <x:c r="A514" s="16" t="n">
        <x:v>514</x:v>
      </x:c>
      <x:c r="B514" s="21" t="str">
        <x:v>PC.000.634</x:v>
      </x:c>
      <x:c r="C514" s="57" t="str">
        <x:v>Perfil Tubo 38mm Cinza A.6467/Esa4214-6M  (1kg.=2,863m)</x:v>
      </x:c>
      <x:c r="D514" s="21" t="str">
        <x:v>Cinza</x:v>
      </x:c>
      <x:c r="E514" s="24" t="n">
        <x:v>42.61</x:v>
      </x:c>
      <x:c r="F514" s="34" t="n">
        <x:v>2.863</x:v>
      </x:c>
      <x:c r="G514" s="21" t="str">
        <x:v>descricao</x:v>
      </x:c>
      <x:c r="H514" s="35" t="n">
        <x:f>IFERROR(E514/F514,"")</x:f>
        <x:v>14.882989870764932</x:v>
      </x:c>
      <x:c r="I514" s="17" t="str">
        <x:v>Precificado</x:v>
      </x:c>
    </x:row>
    <x:row r="515">
      <x:c r="A515" s="16" t="n">
        <x:v>515</x:v>
      </x:c>
      <x:c r="B515" s="21" t="str">
        <x:v>PC.000.086</x:v>
      </x:c>
      <x:c r="C515" s="57" t="str">
        <x:v>Perfil Tubo 38mm Cru/Pintar A.6467/Esa4214-6M (A){1kg.=2,95470ml}</x:v>
      </x:c>
      <x:c r="D515" s="21" t="str">
        <x:v>Alumínio cru</x:v>
      </x:c>
      <x:c r="E515" s="24" t="n">
        <x:v>34.74</x:v>
      </x:c>
      <x:c r="F515" s="34" t="n">
        <x:v>2.9547</x:v>
      </x:c>
      <x:c r="G515" s="21" t="str">
        <x:v>descricao</x:v>
      </x:c>
      <x:c r="H515" s="35" t="n">
        <x:f>IFERROR(E515/F515,"")</x:f>
        <x:v>11.757538836430095</x:v>
      </x:c>
      <x:c r="I515" s="17" t="str">
        <x:v>Precificado</x:v>
      </x:c>
    </x:row>
    <x:row r="516">
      <x:c r="A516" s="16" t="n">
        <x:v>516</x:v>
      </x:c>
      <x:c r="B516" s="21" t="str">
        <x:v>PC.000.635</x:v>
      </x:c>
      <x:c r="C516" s="57" t="str">
        <x:v>Perfil Tubo 38mm Preto A.6467/Esa4214-6M (A) (1kg.=2,863m)</x:v>
      </x:c>
      <x:c r="D516" s="21" t="str">
        <x:v>Preto</x:v>
      </x:c>
      <x:c r="E516" s="24" t="n">
        <x:v>39.74</x:v>
      </x:c>
      <x:c r="F516" s="34" t="n">
        <x:v>2.863</x:v>
      </x:c>
      <x:c r="G516" s="21" t="str">
        <x:v>descricao</x:v>
      </x:c>
      <x:c r="H516" s="35" t="n">
        <x:f>IFERROR(E516/F516,"")</x:f>
        <x:v>13.880544882989872</x:v>
      </x:c>
      <x:c r="I516" s="17" t="str">
        <x:v>Precificado</x:v>
      </x:c>
    </x:row>
    <x:row r="517">
      <x:c r="A517" s="16" t="n">
        <x:v>517</x:v>
      </x:c>
      <x:c r="B517" s="21" t="str">
        <x:v>001.008.002.001.15 - 765</x:v>
      </x:c>
      <x:c r="C517" s="57" t="str">
        <x:v>Perfil Tubo 38mm Spring Move Cor Cru (REI.765) [1kg.= 3,37m] 03/19 PCT30M</x:v>
      </x:c>
      <x:c r="D517" s="21" t="str">
        <x:v>Alumínio cru</x:v>
      </x:c>
      <x:c r="E517" s="24" t="n">
        <x:v>34.74</x:v>
      </x:c>
      <x:c r="F517" s="34" t="n">
        <x:v>3.37</x:v>
      </x:c>
      <x:c r="G517" s="21" t="str">
        <x:v>descricao</x:v>
      </x:c>
      <x:c r="H517" s="35" t="n">
        <x:f>IFERROR(E517/F517,"")</x:f>
        <x:v>10.308605341246292</x:v>
      </x:c>
      <x:c r="I517" s="17" t="str">
        <x:v>Precificado</x:v>
      </x:c>
    </x:row>
    <x:row r="518">
      <x:c r="A518" s="16" t="n">
        <x:v>518</x:v>
      </x:c>
      <x:c r="B518" s="21" t="str">
        <x:v>PC.000.087</x:v>
      </x:c>
      <x:c r="C518" s="57" t="str">
        <x:v>Perfil Tubo 42mm (RTU-42/6480/ES-3935) Cru (A) (1kg.=1,9784m) PCT60 6m 01/20</x:v>
      </x:c>
      <x:c r="D518" s="21" t="str">
        <x:v>Alumínio cru</x:v>
      </x:c>
      <x:c r="E518" s="24" t="n">
        <x:v>34.74</x:v>
      </x:c>
      <x:c r="F518" s="34" t="n">
        <x:v>1.9784</x:v>
      </x:c>
      <x:c r="G518" s="21" t="str">
        <x:v>descricao</x:v>
      </x:c>
      <x:c r="H518" s="35" t="n">
        <x:f>IFERROR(E518/F518,"")</x:f>
        <x:v>17.55964415689446</x:v>
      </x:c>
      <x:c r="I518" s="17" t="str">
        <x:v>Precificado</x:v>
      </x:c>
    </x:row>
    <x:row r="519">
      <x:c r="A519" s="16" t="n">
        <x:v>519</x:v>
      </x:c>
      <x:c r="B519" s="21" t="str">
        <x:v>001.008.002.001.68</x:v>
      </x:c>
      <x:c r="C519" s="57" t="str">
        <x:v>Perfil Tubo 50mm (PM-5562) Bege bg 6m (e4,50m) {1kg.=1,197ml}) PCT60M (Q.A.F.L UNX) F0234</x:v>
      </x:c>
      <x:c r="D519" s="21" t="str">
        <x:v>Bege</x:v>
      </x:c>
      <x:c r="E519" s="24" t="n">
        <x:v>44.39</x:v>
      </x:c>
      <x:c r="F519" s="34" t="n">
        <x:v>1.197</x:v>
      </x:c>
      <x:c r="G519" s="21" t="str">
        <x:v>descricao</x:v>
      </x:c>
      <x:c r="H519" s="35" t="n">
        <x:f>IFERROR(E519/F519,"")</x:f>
        <x:v>37.0843776106934</x:v>
      </x:c>
      <x:c r="I519" s="17" t="str">
        <x:v>Precificado</x:v>
      </x:c>
    </x:row>
    <x:row r="520">
      <x:c r="A520" s="16" t="n">
        <x:v>520</x:v>
      </x:c>
      <x:c r="B520" s="21" t="str">
        <x:v>001.008.002.001.70</x:v>
      </x:c>
      <x:c r="C520" s="57" t="str">
        <x:v>Perfil Tubo 50mm (PM-5562) Bronze bz 6m (e4,50m) {1kg.=1,197ml}) (Q.A.F.L UNX)F0234</x:v>
      </x:c>
      <x:c r="D520" s="21" t="str">
        <x:v>Bronze</x:v>
      </x:c>
      <x:c r="E520" s="24" t="n">
        <x:v>42.94</x:v>
      </x:c>
      <x:c r="F520" s="34" t="n">
        <x:v>1.197</x:v>
      </x:c>
      <x:c r="G520" s="21" t="str">
        <x:v>descricao</x:v>
      </x:c>
      <x:c r="H520" s="35" t="n">
        <x:f>IFERROR(E520/F520,"")</x:f>
        <x:v>35.873015873015866</x:v>
      </x:c>
      <x:c r="I520" s="17" t="str">
        <x:v>Precificado</x:v>
      </x:c>
    </x:row>
    <x:row r="521">
      <x:c r="A521" s="16" t="n">
        <x:v>521</x:v>
      </x:c>
      <x:c r="B521" s="21" t="str">
        <x:v>001.008.002.001.69</x:v>
      </x:c>
      <x:c r="C521" s="57" t="str">
        <x:v>Perfil Tubo 50mm (PM-5562) Cinza cz 6m (e4,50m){1kg.=1,197ml}PCT60M (Q.A.F.L UNX)F0234</x:v>
      </x:c>
      <x:c r="D521" s="21" t="str">
        <x:v>Cinza</x:v>
      </x:c>
      <x:c r="E521" s="24" t="n">
        <x:v>42.61</x:v>
      </x:c>
      <x:c r="F521" s="34" t="n">
        <x:v>1.197</x:v>
      </x:c>
      <x:c r="G521" s="21" t="str">
        <x:v>descricao</x:v>
      </x:c>
      <x:c r="H521" s="35" t="n">
        <x:f>IFERROR(E521/F521,"")</x:f>
        <x:v>35.59732664995823</x:v>
      </x:c>
      <x:c r="I521" s="17" t="str">
        <x:v>Precificado</x:v>
      </x:c>
    </x:row>
    <x:row r="522">
      <x:c r="A522" s="16" t="n">
        <x:v>522</x:v>
      </x:c>
      <x:c r="B522" s="21" t="str">
        <x:v>PC.000.849</x:v>
      </x:c>
      <x:c r="C522" s="57" t="str">
        <x:v>Perfil Tubo 50mm (RTU-50-2G/A.6466/TMR-4287) Branco bco 6m(e4,5m) (A) (1kg.=1,303m)</x:v>
      </x:c>
      <x:c r="D522" s="21" t="str">
        <x:v>Branco</x:v>
      </x:c>
      <x:c r="E522" s="24" t="n">
        <x:v>40.57</x:v>
      </x:c>
      <x:c r="F522" s="34" t="n">
        <x:v>1.303</x:v>
      </x:c>
      <x:c r="G522" s="21" t="str">
        <x:v>descricao</x:v>
      </x:c>
      <x:c r="H522" s="35" t="n">
        <x:f>IFERROR(E522/F522,"")</x:f>
        <x:v>31.135840368380663</x:v>
      </x:c>
      <x:c r="I522" s="17" t="str">
        <x:v>Precificado</x:v>
      </x:c>
    </x:row>
    <x:row r="523">
      <x:c r="A523" s="16" t="n">
        <x:v>523</x:v>
      </x:c>
      <x:c r="B523" s="21" t="str">
        <x:v>PC.000.850</x:v>
      </x:c>
      <x:c r="C523" s="57" t="str">
        <x:v>Perfil Tubo 50mm (RTU-50-2G/A.6466/TMR-4287)Bege bg 6m(e4,5m)(1kg.=1,303m) (B) PCT23,2 11/21 cm1</x:v>
      </x:c>
      <x:c r="D523" s="21" t="str">
        <x:v>Bege</x:v>
      </x:c>
      <x:c r="E523" s="24" t="n">
        <x:v>44.39</x:v>
      </x:c>
      <x:c r="F523" s="34" t="n">
        <x:v>1.303</x:v>
      </x:c>
      <x:c r="G523" s="21" t="str">
        <x:v>descricao</x:v>
      </x:c>
      <x:c r="H523" s="35" t="n">
        <x:f>IFERROR(E523/F523,"")</x:f>
        <x:v>34.06753645433615</x:v>
      </x:c>
      <x:c r="I523" s="17" t="str">
        <x:v>Precificado</x:v>
      </x:c>
    </x:row>
    <x:row r="524">
      <x:c r="A524" s="16" t="n">
        <x:v>524</x:v>
      </x:c>
      <x:c r="B524" s="21" t="str">
        <x:v>PC.000.851</x:v>
      </x:c>
      <x:c r="C524" s="57" t="str">
        <x:v>Perfil Tubo 50mm (RTU-50-2G/A.6466/TMR-4287)Cinza cz 6m(e4,5m)(1kg.=1,303m) (B) PCT23,2 5,8m 11/21 cm1</x:v>
      </x:c>
      <x:c r="D524" s="21" t="str">
        <x:v>Cinza</x:v>
      </x:c>
      <x:c r="E524" s="24" t="n">
        <x:v>42.61</x:v>
      </x:c>
      <x:c r="F524" s="34" t="n">
        <x:v>1.303</x:v>
      </x:c>
      <x:c r="G524" s="21" t="str">
        <x:v>descricao</x:v>
      </x:c>
      <x:c r="H524" s="35" t="n">
        <x:f>IFERROR(E524/F524,"")</x:f>
        <x:v>32.70145817344589</x:v>
      </x:c>
      <x:c r="I524" s="17" t="str">
        <x:v>Precificado</x:v>
      </x:c>
    </x:row>
    <x:row r="525">
      <x:c r="A525" s="16" t="n">
        <x:v>525</x:v>
      </x:c>
      <x:c r="B525" s="21" t="str">
        <x:v>PC.000.848</x:v>
      </x:c>
      <x:c r="C525" s="57" t="str">
        <x:v>Perfil Tubo 50mm (RTU-50-2G/A.6466/TMR-4287)Cru 6m (e4,5m) (A) {1kg.=1,29540m}</x:v>
      </x:c>
      <x:c r="D525" s="21" t="str">
        <x:v>Alumínio cru</x:v>
      </x:c>
      <x:c r="E525" s="24" t="n">
        <x:v>34.74</x:v>
      </x:c>
      <x:c r="F525" s="34" t="n">
        <x:v>1.2954</x:v>
      </x:c>
      <x:c r="G525" s="21" t="str">
        <x:v>descricao</x:v>
      </x:c>
      <x:c r="H525" s="35" t="n">
        <x:f>IFERROR(E525/F525,"")</x:f>
        <x:v>26.817971283001388</x:v>
      </x:c>
      <x:c r="I525" s="17" t="str">
        <x:v>Precificado</x:v>
      </x:c>
    </x:row>
    <x:row r="526">
      <x:c r="A526" s="16" t="n">
        <x:v>526</x:v>
      </x:c>
      <x:c r="B526" s="21" t="str">
        <x:v>PC.000.852</x:v>
      </x:c>
      <x:c r="C526" s="57" t="str">
        <x:v>Perfil Tubo 50mm (RTU-50-2G/A.6466/TMR-4287)Preto pt 6m(e4,5m)(1kg.=1,303m)5,8m 11/21 cm0,65</x:v>
      </x:c>
      <x:c r="D526" s="21" t="str">
        <x:v>Preto</x:v>
      </x:c>
      <x:c r="E526" s="24" t="n">
        <x:v>39.74</x:v>
      </x:c>
      <x:c r="F526" s="34" t="n">
        <x:v>1.303</x:v>
      </x:c>
      <x:c r="G526" s="21" t="str">
        <x:v>descricao</x:v>
      </x:c>
      <x:c r="H526" s="35" t="n">
        <x:f>IFERROR(E526/F526,"")</x:f>
        <x:v>30.498848810437455</x:v>
      </x:c>
      <x:c r="I526" s="17" t="str">
        <x:v>Precificado</x:v>
      </x:c>
    </x:row>
    <x:row r="527">
      <x:c r="A527" s="16" t="n">
        <x:v>527</x:v>
      </x:c>
      <x:c r="B527" s="21" t="str">
        <x:v>PC.000.853</x:v>
      </x:c>
      <x:c r="C527" s="57" t="str">
        <x:v>Perfil Tubo 50mm (RTU-50-2G/A.6466T./TMR-4287)Pintar 6m(e4,5m)6/21(1kg.= 1,291975m)01/20ml}a</x:v>
      </x:c>
      <x:c r="D527" s="21" t="str">
        <x:v>Alumínio cru</x:v>
      </x:c>
      <x:c r="E527" s="24" t="n">
        <x:v>34.74</x:v>
      </x:c>
      <x:c r="F527" s="34" t="n">
        <x:v>1.291975</x:v>
      </x:c>
      <x:c r="G527" s="21" t="str">
        <x:v>descricao</x:v>
      </x:c>
      <x:c r="H527" s="35" t="n">
        <x:f>IFERROR(E527/F527,"")</x:f>
        <x:v>26.889065190889916</x:v>
      </x:c>
      <x:c r="I527" s="17" t="str">
        <x:v>Precificado</x:v>
      </x:c>
    </x:row>
    <x:row r="528">
      <x:c r="A528" s="16" t="n">
        <x:v>528</x:v>
      </x:c>
      <x:c r="B528" s="21" t="str">
        <x:v>PC.000.084</x:v>
      </x:c>
      <x:c r="C528" s="57" t="str">
        <x:v>Perfil Tubo 65mm (RTU-65/alpex6432) Cru ***(barra de 3,80 prv4,50) (A) ***(PCT15,20m ) (1kg.=0,9702m) 02/23</x:v>
      </x:c>
      <x:c r="D528" s="21" t="str">
        <x:v>Alumínio cru</x:v>
      </x:c>
      <x:c r="E528" s="24" t="n">
        <x:v>34.74</x:v>
      </x:c>
      <x:c r="F528" s="34" t="n">
        <x:v>0.9702</x:v>
      </x:c>
      <x:c r="G528" s="21" t="str">
        <x:v>descricao</x:v>
      </x:c>
      <x:c r="H528" s="35" t="n">
        <x:f>IFERROR(E528/F528,"")</x:f>
        <x:v>35.807050092764385</x:v>
      </x:c>
      <x:c r="I528" s="17" t="str">
        <x:v>Precificado</x:v>
      </x:c>
    </x:row>
    <x:row r="529">
      <x:c r="A529" s="16" t="n">
        <x:v>529</x:v>
      </x:c>
      <x:c r="B529" s="21" t="str">
        <x:v>PC.000.804</x:v>
      </x:c>
      <x:c r="C529" s="57" t="str">
        <x:v>Perfil Tubo 65mm (RTU-65/alpex6432) cru ***(barra de 5,80)*** pct(23,2m ) (1kg.=0,98m) 02/23 (A)</x:v>
      </x:c>
      <x:c r="D529" s="21" t="str">
        <x:v>Alumínio cru</x:v>
      </x:c>
      <x:c r="E529" s="24" t="n">
        <x:v>34.74</x:v>
      </x:c>
      <x:c r="F529" s="34" t="n">
        <x:v>0.98</x:v>
      </x:c>
      <x:c r="G529" s="21" t="str">
        <x:v>descricao</x:v>
      </x:c>
      <x:c r="H529" s="35" t="n">
        <x:f>IFERROR(E529/F529,"")</x:f>
        <x:v>35.44897959183674</x:v>
      </x:c>
      <x:c r="I529" s="17" t="str">
        <x:v>Precificado</x:v>
      </x:c>
    </x:row>
    <x:row r="530">
      <x:c r="A530" s="16" t="n">
        <x:v>530</x:v>
      </x:c>
      <x:c r="B530" s="21" t="str">
        <x:v>PS.000.461</x:v>
      </x:c>
      <x:c r="C530" s="57" t="str">
        <x:v>Perfil Tubo 80mm Cru 6,00M (4m e 7m) (alpex-3781) (B) {1kg.=0,886ml}03/24 (toldo.)</x:v>
      </x:c>
      <x:c r="D530" s="21" t="str">
        <x:v>Alumínio cru</x:v>
      </x:c>
      <x:c r="E530" s="24" t="n">
        <x:v>34.74</x:v>
      </x:c>
      <x:c r="F530" s="34" t="n">
        <x:v>0.886</x:v>
      </x:c>
      <x:c r="G530" s="21" t="str">
        <x:v>descricao</x:v>
      </x:c>
      <x:c r="H530" s="35" t="n">
        <x:f>IFERROR(E530/F530,"")</x:f>
        <x:v>39.20993227990971</x:v>
      </x:c>
      <x:c r="I530" s="17" t="str">
        <x:v>Precificado</x:v>
      </x:c>
    </x:row>
    <x:row r="531">
      <x:c r="A531" s="16" t="n">
        <x:v>531</x:v>
      </x:c>
      <x:c r="B531" s="21" t="str">
        <x:v>PSP.000.146</x:v>
      </x:c>
      <x:c r="C531" s="57" t="str">
        <x:v>Perfil Tubo 80mm Cru 7,00m (6m e 4m) (alpex-3781) (B) (1kg.=0,882m) (a.c.t.d) (toldo.)</x:v>
      </x:c>
      <x:c r="D531" s="21" t="str">
        <x:v>Alumínio cru</x:v>
      </x:c>
      <x:c r="E531" s="24" t="n">
        <x:v>34.74</x:v>
      </x:c>
      <x:c r="F531" s="34" t="n">
        <x:v>0.882</x:v>
      </x:c>
      <x:c r="G531" s="21" t="str">
        <x:v>descricao</x:v>
      </x:c>
      <x:c r="H531" s="35" t="n">
        <x:f>IFERROR(E531/F531,"")</x:f>
        <x:v>39.38775510204082</x:v>
      </x:c>
      <x:c r="I531" s="17" t="str">
        <x:v>Precificado</x:v>
      </x:c>
    </x:row>
    <x:row r="532">
      <x:c r="A532" s="16" t="n">
        <x:v>532</x:v>
      </x:c>
      <x:c r="B532" s="21" t="str">
        <x:v>PC.000.088</x:v>
      </x:c>
      <x:c r="C532" s="57" t="str">
        <x:v>Perfil Tubo 90mm Cru 4,5m (e 6m) (RTU-90 alpex6553) (1kg.=0,658858m) (A) (PCT23,2m)</x:v>
      </x:c>
      <x:c r="D532" s="21" t="str">
        <x:v>Alumínio cru</x:v>
      </x:c>
      <x:c r="E532" s="24" t="n">
        <x:v>34.74</x:v>
      </x:c>
      <x:c r="F532" s="34" t="n">
        <x:v>0.658858</x:v>
      </x:c>
      <x:c r="G532" s="21" t="str">
        <x:v>descricao</x:v>
      </x:c>
      <x:c r="H532" s="35" t="n">
        <x:f>IFERROR(E532/F532,"")</x:f>
        <x:v>52.727598359585826</x:v>
      </x:c>
      <x:c r="I532" s="17" t="str">
        <x:v>Precificado</x:v>
      </x:c>
    </x:row>
    <x:row r="533">
      <x:c r="A533" s="16" t="n">
        <x:v>533</x:v>
      </x:c>
      <x:c r="B533" s="21" t="str">
        <x:v>PC.000.590</x:v>
      </x:c>
      <x:c r="C533" s="57" t="str">
        <x:v>Perfil Tubo 90mm Cru 6m (e 4,50m) (RTU-90 alpex6553 ) 1/21 (A) (1kg.=0,657895m)</x:v>
      </x:c>
      <x:c r="D533" s="21" t="str">
        <x:v>Alumínio cru</x:v>
      </x:c>
      <x:c r="E533" s="24" t="n">
        <x:v>34.74</x:v>
      </x:c>
      <x:c r="F533" s="34" t="n">
        <x:v>0.657895</x:v>
      </x:c>
      <x:c r="G533" s="21" t="str">
        <x:v>descricao</x:v>
      </x:c>
      <x:c r="H533" s="35" t="n">
        <x:f>IFERROR(E533/F533,"")</x:f>
        <x:v>52.80477887808845</x:v>
      </x:c>
      <x:c r="I533" s="17" t="str">
        <x:v>Precificado</x:v>
      </x:c>
    </x:row>
    <x:row r="534">
      <x:c r="A534" s="16" t="n">
        <x:v>534</x:v>
      </x:c>
      <x:c r="B534" s="21" t="str">
        <x:v>PL500016</x:v>
      </x:c>
      <x:c r="C534" s="57" t="str">
        <x:v>Perfil Tubo Octagonal Cru (ALPEX6530) 6m  (A) PCT36M12/12 (1kg.=2,78092ml)</x:v>
      </x:c>
      <x:c r="D534" s="21" t="str">
        <x:v>Alumínio cru</x:v>
      </x:c>
      <x:c r="E534" s="24" t="n">
        <x:v>34.74</x:v>
      </x:c>
      <x:c r="F534" s="34" t="n">
        <x:v>2.78092</x:v>
      </x:c>
      <x:c r="G534" s="21" t="str">
        <x:v>descricao</x:v>
      </x:c>
      <x:c r="H534" s="35" t="n">
        <x:f>IFERROR(E534/F534,"")</x:f>
        <x:v>12.492268745594984</x:v>
      </x:c>
      <x:c r="I534" s="17" t="str">
        <x:v>Precificado</x:v>
      </x:c>
    </x:row>
    <x:row r="535">
      <x:c r="A535" s="16" t="n">
        <x:v>535</x:v>
      </x:c>
      <x:c r="B535" s="21" t="str">
        <x:v>TD.000.008</x:v>
      </x:c>
      <x:c r="C535" s="57" t="str">
        <x:v>Perfil Tubo Ran Ojiva 70mm (80030024) kg  F0791 F,,</x:v>
      </x:c>
      <x:c r="D535" s="21" t="str">
        <x:v>Alumínio cru</x:v>
      </x:c>
      <x:c r="E535" s="24" t="n">
        <x:v>34.74</x:v>
      </x:c>
      <x:c r="F535" s="34"/>
      <x:c r="G535" s="21" t="str">
        <x:v>sem-fator</x:v>
      </x:c>
      <x:c r="H535" s="35" t="str">
        <x:f>IFERROR(E535/F535,"")</x:f>
      </x:c>
      <x:c r="I535" s="17" t="str">
        <x:v>Pendente</x:v>
      </x:c>
    </x:row>
    <x:row r="536">
      <x:c r="A536" s="16" t="n">
        <x:v>536</x:v>
      </x:c>
      <x:c r="B536" s="21" t="str">
        <x:v>C.CORT.500.0015</x:v>
      </x:c>
      <x:c r="C536" s="57" t="str">
        <x:v>Perfil Varao Trilho 23mm Branco Cod 12023 10/21 kg.</x:v>
      </x:c>
      <x:c r="D536" s="21" t="str">
        <x:v>Branco</x:v>
      </x:c>
      <x:c r="E536" s="24" t="n">
        <x:v>40.57</x:v>
      </x:c>
      <x:c r="F536" s="34"/>
      <x:c r="G536" s="21" t="str">
        <x:v>sem-fator</x:v>
      </x:c>
      <x:c r="H536" s="35" t="str">
        <x:f>IFERROR(E536/F536,"")</x:f>
      </x:c>
      <x:c r="I536" s="17" t="str">
        <x:v>Pendente</x:v>
      </x:c>
    </x:row>
    <x:row r="537">
      <x:c r="A537" s="16" t="n">
        <x:v>537</x:v>
      </x:c>
      <x:c r="B537" s="21" t="str">
        <x:v>C.CORT.500.0004</x:v>
      </x:c>
      <x:c r="C537" s="57" t="str">
        <x:v>Perfil Varao Trilho 30mm Branco Cod 12030 10/21 kg.</x:v>
      </x:c>
      <x:c r="D537" s="21" t="str">
        <x:v>Branco</x:v>
      </x:c>
      <x:c r="E537" s="24" t="n">
        <x:v>40.57</x:v>
      </x:c>
      <x:c r="F537" s="34"/>
      <x:c r="G537" s="21" t="str">
        <x:v>sem-fator</x:v>
      </x:c>
      <x:c r="H537" s="35" t="str">
        <x:f>IFERROR(E537/F537,"")</x:f>
      </x:c>
      <x:c r="I537" s="17" t="str">
        <x:v>Pendente</x:v>
      </x:c>
    </x:row>
    <x:row r="538">
      <x:c r="A538" s="16" t="n">
        <x:v>538</x:v>
      </x:c>
      <x:c r="B538" s="21" t="str">
        <x:v>PLC000150</x:v>
      </x:c>
      <x:c r="C538" s="57" t="str">
        <x:v>Perfil.Cel./Rom. Cabecote 38mm (PLC38-01/alpex6433) .PINTAR {1kg.=2,24194} 6m ml}a  bg914872 bc73 bz74 cz76 pt77</x:v>
      </x:c>
      <x:c r="D538" s="21" t="str">
        <x:v>Alumínio cru</x:v>
      </x:c>
      <x:c r="E538" s="24" t="n">
        <x:v>34.74</x:v>
      </x:c>
      <x:c r="F538" s="34" t="n">
        <x:v>2.24194</x:v>
      </x:c>
      <x:c r="G538" s="21" t="str">
        <x:v>descricao</x:v>
      </x:c>
      <x:c r="H538" s="35" t="n">
        <x:f>IFERROR(E538/F538,"")</x:f>
        <x:v>15.49550835437166</x:v>
      </x:c>
      <x:c r="I538" s="17" t="str">
        <x:v>Precificado</x:v>
      </x:c>
    </x:row>
    <x:row r="539">
      <x:c r="A539" s="16" t="n">
        <x:v>539</x:v>
      </x:c>
      <x:c r="B539" s="21" t="str">
        <x:v>PLC00014</x:v>
      </x:c>
      <x:c r="C539" s="57" t="str">
        <x:v>Perfil.Cel./Rom. Cabecote 38mm (PLC38-01/alpex6433) Bege bg (A) (1kg.=2,235m)</x:v>
      </x:c>
      <x:c r="D539" s="21" t="str">
        <x:v>Bege</x:v>
      </x:c>
      <x:c r="E539" s="24" t="n">
        <x:v>44.39</x:v>
      </x:c>
      <x:c r="F539" s="34" t="n">
        <x:v>2.235</x:v>
      </x:c>
      <x:c r="G539" s="21" t="str">
        <x:v>descricao</x:v>
      </x:c>
      <x:c r="H539" s="35" t="n">
        <x:f>IFERROR(E539/F539,"")</x:f>
        <x:v>19.861297539149888</x:v>
      </x:c>
      <x:c r="I539" s="17" t="str">
        <x:v>Precificado</x:v>
      </x:c>
    </x:row>
    <x:row r="540">
      <x:c r="A540" s="16" t="n">
        <x:v>540</x:v>
      </x:c>
      <x:c r="B540" s="21" t="str">
        <x:v>PLC00013</x:v>
      </x:c>
      <x:c r="C540" s="57" t="str">
        <x:v>Perfil.Cel./Rom. Cabecote 38mm (PLC38-01/alpex6433) Branco bco (1kg.=2,235m) (A) pct69,6f 5,80m/6m</x:v>
      </x:c>
      <x:c r="D540" s="21" t="str">
        <x:v>Branco</x:v>
      </x:c>
      <x:c r="E540" s="24" t="n">
        <x:v>40.57</x:v>
      </x:c>
      <x:c r="F540" s="34" t="n">
        <x:v>2.235</x:v>
      </x:c>
      <x:c r="G540" s="21" t="str">
        <x:v>descricao</x:v>
      </x:c>
      <x:c r="H540" s="35" t="n">
        <x:f>IFERROR(E540/F540,"")</x:f>
        <x:v>18.15212527964206</x:v>
      </x:c>
      <x:c r="I540" s="17" t="str">
        <x:v>Precificado</x:v>
      </x:c>
    </x:row>
    <x:row r="541">
      <x:c r="A541" s="16" t="n">
        <x:v>541</x:v>
      </x:c>
      <x:c r="B541" s="21" t="str">
        <x:v>PLC00015</x:v>
      </x:c>
      <x:c r="C541" s="57" t="str">
        <x:v>Perfil.Cel./Rom. Cabecote 38mm (PLC38-01/alpex6433) Bronze bz (1kg.=2,235m) pct69,6f 5,80m/6m</x:v>
      </x:c>
      <x:c r="D541" s="21" t="str">
        <x:v>Bronze</x:v>
      </x:c>
      <x:c r="E541" s="24" t="n">
        <x:v>42.94</x:v>
      </x:c>
      <x:c r="F541" s="34" t="n">
        <x:v>2.235</x:v>
      </x:c>
      <x:c r="G541" s="21" t="str">
        <x:v>descricao</x:v>
      </x:c>
      <x:c r="H541" s="35" t="n">
        <x:f>IFERROR(E541/F541,"")</x:f>
        <x:v>19.212527964205815</x:v>
      </x:c>
      <x:c r="I541" s="17" t="str">
        <x:v>Precificado</x:v>
      </x:c>
    </x:row>
    <x:row r="542">
      <x:c r="A542" s="16" t="n">
        <x:v>542</x:v>
      </x:c>
      <x:c r="B542" s="21" t="str">
        <x:v>PLC00016</x:v>
      </x:c>
      <x:c r="C542" s="57" t="str">
        <x:v>Perfil.Cel./Rom. Cabecote 38mm (PLC38-01/alpex6433) Cinza cz (A) (1kg.=2,235m) pct69,6f 6m</x:v>
      </x:c>
      <x:c r="D542" s="21" t="str">
        <x:v>Cinza</x:v>
      </x:c>
      <x:c r="E542" s="24" t="n">
        <x:v>42.61</x:v>
      </x:c>
      <x:c r="F542" s="34" t="n">
        <x:v>2.235</x:v>
      </x:c>
      <x:c r="G542" s="21" t="str">
        <x:v>descricao</x:v>
      </x:c>
      <x:c r="H542" s="35" t="n">
        <x:f>IFERROR(E542/F542,"")</x:f>
        <x:v>19.06487695749441</x:v>
      </x:c>
      <x:c r="I542" s="17" t="str">
        <x:v>Precificado</x:v>
      </x:c>
    </x:row>
    <x:row r="543">
      <x:c r="A543" s="16" t="n">
        <x:v>543</x:v>
      </x:c>
      <x:c r="B543" s="21" t="str">
        <x:v>PLC00017</x:v>
      </x:c>
      <x:c r="C543" s="57" t="str">
        <x:v>Perfil.Cel./Rom. Cabecote 38mm (PLC38-01/alpex6433) Preto pt (B) (1kg.=2,235m) pct69,6f 5,80m/6m</x:v>
      </x:c>
      <x:c r="D543" s="21" t="str">
        <x:v>Preto</x:v>
      </x:c>
      <x:c r="E543" s="24" t="n">
        <x:v>39.74</x:v>
      </x:c>
      <x:c r="F543" s="34" t="n">
        <x:v>2.235</x:v>
      </x:c>
      <x:c r="G543" s="21" t="str">
        <x:v>descricao</x:v>
      </x:c>
      <x:c r="H543" s="35" t="n">
        <x:f>IFERROR(E543/F543,"")</x:f>
        <x:v>17.780760626398212</x:v>
      </x:c>
      <x:c r="I543" s="17" t="str">
        <x:v>Precificado</x:v>
      </x:c>
    </x:row>
    <x:row r="544">
      <x:c r="A544" s="16" t="n">
        <x:v>544</x:v>
      </x:c>
      <x:c r="B544" s="21" t="str">
        <x:v>001.008.168.001.28</x:v>
      </x:c>
      <x:c r="C544" s="57" t="str">
        <x:v>Perfil.Painel. Bastao Aluminum Wand White 0-181-CA-03000-4,88m (1kg.=13,88m)(excl vert)MPSLVM</x:v>
      </x:c>
      <x:c r="D544" s="21" t="str">
        <x:v>Alumínio cru</x:v>
      </x:c>
      <x:c r="E544" s="24" t="n">
        <x:v>34.74</x:v>
      </x:c>
      <x:c r="F544" s="34" t="n">
        <x:v>13.88</x:v>
      </x:c>
      <x:c r="G544" s="21" t="str">
        <x:v>descricao</x:v>
      </x:c>
      <x:c r="H544" s="35" t="n">
        <x:f>IFERROR(E544/F544,"")</x:f>
        <x:v>2.5028818443804033</x:v>
      </x:c>
      <x:c r="I544" s="17" t="str">
        <x:v>Precificado</x:v>
      </x:c>
    </x:row>
    <x:row r="545">
      <x:c r="A545" s="16" t="n">
        <x:v>545</x:v>
      </x:c>
      <x:c r="B545" s="21" t="str">
        <x:v>001.008.168.001.14</x:v>
      </x:c>
      <x:c r="C545" s="57" t="str">
        <x:v>Perfil.Painel. Trilho 3 vias .PINTAR 5286-6m {1kg.=2,467ml}a</x:v>
      </x:c>
      <x:c r="D545" s="21" t="str">
        <x:v>Alumínio cru</x:v>
      </x:c>
      <x:c r="E545" s="24" t="n">
        <x:v>34.74</x:v>
      </x:c>
      <x:c r="F545" s="34" t="n">
        <x:v>2.467</x:v>
      </x:c>
      <x:c r="G545" s="21" t="str">
        <x:v>descricao</x:v>
      </x:c>
      <x:c r="H545" s="35" t="n">
        <x:f>IFERROR(E545/F545,"")</x:f>
        <x:v>14.081880826915283</x:v>
      </x:c>
      <x:c r="I545" s="17" t="str">
        <x:v>Precificado</x:v>
      </x:c>
    </x:row>
    <x:row r="546">
      <x:c r="A546" s="16" t="n">
        <x:v>546</x:v>
      </x:c>
      <x:c r="B546" s="21" t="str">
        <x:v>001.008.168.001.29.5</x:v>
      </x:c>
      <x:c r="C546" s="57" t="str">
        <x:v>Perfil.Painel. Trilho 3 vias Branco 5286-6m {1kg.=2,421ml}</x:v>
      </x:c>
      <x:c r="D546" s="21" t="str">
        <x:v>Branco</x:v>
      </x:c>
      <x:c r="E546" s="24" t="n">
        <x:v>40.57</x:v>
      </x:c>
      <x:c r="F546" s="34" t="n">
        <x:v>2.421</x:v>
      </x:c>
      <x:c r="G546" s="21" t="str">
        <x:v>descricao</x:v>
      </x:c>
      <x:c r="H546" s="35" t="n">
        <x:f>IFERROR(E546/F546,"")</x:f>
        <x:v>16.757538207352336</x:v>
      </x:c>
      <x:c r="I546" s="17" t="str">
        <x:v>Precificado</x:v>
      </x:c>
    </x:row>
    <x:row r="547">
      <x:c r="A547" s="16" t="n">
        <x:v>547</x:v>
      </x:c>
      <x:c r="B547" s="21" t="str">
        <x:v>001.008.168.001.29</x:v>
      </x:c>
      <x:c r="C547" s="57" t="str">
        <x:v>Perfil.Painel. Trilho 3 vias Preto 5286-6m  {1kg.=2,421ml}</x:v>
      </x:c>
      <x:c r="D547" s="21" t="str">
        <x:v>Preto</x:v>
      </x:c>
      <x:c r="E547" s="24" t="n">
        <x:v>39.74</x:v>
      </x:c>
      <x:c r="F547" s="34" t="n">
        <x:v>2.421</x:v>
      </x:c>
      <x:c r="G547" s="21" t="str">
        <x:v>descricao</x:v>
      </x:c>
      <x:c r="H547" s="35" t="n">
        <x:f>IFERROR(E547/F547,"")</x:f>
        <x:v>16.414704667492774</x:v>
      </x:c>
      <x:c r="I547" s="17" t="str">
        <x:v>Precificado</x:v>
      </x:c>
    </x:row>
    <x:row r="548">
      <x:c r="A548" s="16" t="n">
        <x:v>548</x:v>
      </x:c>
      <x:c r="B548" s="21" t="str">
        <x:v>001.008.168.001.25</x:v>
      </x:c>
      <x:c r="C548" s="57" t="str">
        <x:v>Perfil.Painel. Trilho 5 vias .PINTAR 5287-6m  {1kg.=1,401ml}a MPSLVM</x:v>
      </x:c>
      <x:c r="D548" s="21" t="str">
        <x:v>Alumínio cru</x:v>
      </x:c>
      <x:c r="E548" s="24" t="n">
        <x:v>34.74</x:v>
      </x:c>
      <x:c r="F548" s="34" t="n">
        <x:v>1.401</x:v>
      </x:c>
      <x:c r="G548" s="21" t="str">
        <x:v>descricao</x:v>
      </x:c>
      <x:c r="H548" s="35" t="n">
        <x:f>IFERROR(E548/F548,"")</x:f>
        <x:v>24.796573875803</x:v>
      </x:c>
      <x:c r="I548" s="17" t="str">
        <x:v>Precificado</x:v>
      </x:c>
    </x:row>
    <x:row r="549">
      <x:c r="A549" s="16" t="n">
        <x:v>549</x:v>
      </x:c>
      <x:c r="B549" s="21" t="str">
        <x:v>001.008.168.001.31.1</x:v>
      </x:c>
      <x:c r="C549" s="57" t="str">
        <x:v>Perfil.Painel. Trilho 5 vias Branco 5287-6m (B) {1kg.=1,399ml}</x:v>
      </x:c>
      <x:c r="D549" s="21" t="str">
        <x:v>Branco</x:v>
      </x:c>
      <x:c r="E549" s="24" t="n">
        <x:v>40.57</x:v>
      </x:c>
      <x:c r="F549" s="34" t="n">
        <x:v>1.399</x:v>
      </x:c>
      <x:c r="G549" s="21" t="str">
        <x:v>descricao</x:v>
      </x:c>
      <x:c r="H549" s="35" t="n">
        <x:f>IFERROR(E549/F549,"")</x:f>
        <x:v>28.99928520371694</x:v>
      </x:c>
      <x:c r="I549" s="17" t="str">
        <x:v>Precificado</x:v>
      </x:c>
    </x:row>
    <x:row r="550">
      <x:c r="A550" s="16" t="n">
        <x:v>550</x:v>
      </x:c>
      <x:c r="B550" s="21" t="str">
        <x:v>001.008.168.001.31</x:v>
      </x:c>
      <x:c r="C550" s="57" t="str">
        <x:v>Perfil.Painel. Trilho 5 vias Preto 5287-6m  {1kg.=1,399ml}</x:v>
      </x:c>
      <x:c r="D550" s="21" t="str">
        <x:v>Preto</x:v>
      </x:c>
      <x:c r="E550" s="24" t="n">
        <x:v>39.74</x:v>
      </x:c>
      <x:c r="F550" s="34" t="n">
        <x:v>1.399</x:v>
      </x:c>
      <x:c r="G550" s="21" t="str">
        <x:v>descricao</x:v>
      </x:c>
      <x:c r="H550" s="35" t="n">
        <x:f>IFERROR(E550/F550,"")</x:f>
        <x:v>28.406004288777698</x:v>
      </x:c>
      <x:c r="I550" s="17" t="str">
        <x:v>Precificado</x:v>
      </x:c>
    </x:row>
    <x:row r="551">
      <x:c r="A551" s="16" t="n">
        <x:v>551</x:v>
      </x:c>
      <x:c r="B551" s="21" t="str">
        <x:v>001.008.002.001.49.1</x:v>
      </x:c>
      <x:c r="C551" s="57" t="str">
        <x:v>Perfil.Painel. Trilho Deslizante .PINTAR 5285/REI932-6m  {1kg.=5,584ml}a</x:v>
      </x:c>
      <x:c r="D551" s="21" t="str">
        <x:v>Alumínio cru</x:v>
      </x:c>
      <x:c r="E551" s="24" t="n">
        <x:v>34.74</x:v>
      </x:c>
      <x:c r="F551" s="34" t="n">
        <x:v>5.584</x:v>
      </x:c>
      <x:c r="G551" s="21" t="str">
        <x:v>descricao</x:v>
      </x:c>
      <x:c r="H551" s="35" t="n">
        <x:f>IFERROR(E551/F551,"")</x:f>
        <x:v>6.221346704871061</x:v>
      </x:c>
      <x:c r="I551" s="17" t="str">
        <x:v>Precificado</x:v>
      </x:c>
    </x:row>
    <x:row r="552">
      <x:c r="A552" s="16" t="n">
        <x:v>552</x:v>
      </x:c>
      <x:c r="B552" s="21" t="str">
        <x:v>002.001.168.005.1.1</x:v>
      </x:c>
      <x:c r="C552" s="57" t="str">
        <x:v>Perfil.Painel. Trilho Deslizante Branco 5285/REI932-6m  {1kg.=5,584ml}</x:v>
      </x:c>
      <x:c r="D552" s="21" t="str">
        <x:v>Branco</x:v>
      </x:c>
      <x:c r="E552" s="24" t="n">
        <x:v>40.57</x:v>
      </x:c>
      <x:c r="F552" s="34" t="n">
        <x:v>5.584</x:v>
      </x:c>
      <x:c r="G552" s="21" t="str">
        <x:v>descricao</x:v>
      </x:c>
      <x:c r="H552" s="35" t="n">
        <x:f>IFERROR(E552/F552,"")</x:f>
        <x:v>7.265401146131806</x:v>
      </x:c>
      <x:c r="I552" s="17" t="str">
        <x:v>Precificado</x:v>
      </x:c>
    </x:row>
    <x:row r="553">
      <x:c r="A553" s="16" t="n">
        <x:v>553</x:v>
      </x:c>
      <x:c r="B553" s="21" t="str">
        <x:v>001.008.168.001.27</x:v>
      </x:c>
      <x:c r="C553" s="57" t="str">
        <x:v>Perfil.Painel. Trilho Deslizante Preto 5285/REI932-6m {1kg.=5,584ml}</x:v>
      </x:c>
      <x:c r="D553" s="21" t="str">
        <x:v>Preto</x:v>
      </x:c>
      <x:c r="E553" s="24" t="n">
        <x:v>39.74</x:v>
      </x:c>
      <x:c r="F553" s="34" t="n">
        <x:v>5.584</x:v>
      </x:c>
      <x:c r="G553" s="21" t="str">
        <x:v>descricao</x:v>
      </x:c>
      <x:c r="H553" s="35" t="n">
        <x:f>IFERROR(E553/F553,"")</x:f>
        <x:v>7.116762177650431</x:v>
      </x:c>
      <x:c r="I553" s="17" t="str">
        <x:v>Precificado</x:v>
      </x:c>
    </x:row>
    <x:row r="554">
      <x:c r="A554" s="16" t="n">
        <x:v>554</x:v>
      </x:c>
      <x:c r="B554" s="21" t="str">
        <x:v>PSP.000.260</x:v>
      </x:c>
      <x:c r="C554" s="57" t="str">
        <x:v>Perfil.Pergola. Para franja 6,00m preto (13257009) PCT6m 1kg.=</x:v>
      </x:c>
      <x:c r="D554" s="21" t="str">
        <x:v>Preto</x:v>
      </x:c>
      <x:c r="E554" s="24" t="n">
        <x:v>39.74</x:v>
      </x:c>
      <x:c r="F554" s="34"/>
      <x:c r="G554" s="21" t="str">
        <x:v>sem-fator</x:v>
      </x:c>
      <x:c r="H554" s="35" t="str">
        <x:f>IFERROR(E554/F554,"")</x:f>
      </x:c>
      <x:c r="I554" s="17" t="str">
        <x:v>Pendente</x:v>
      </x:c>
    </x:row>
    <x:row r="555">
      <x:c r="A555" s="16" t="n">
        <x:v>555</x:v>
      </x:c>
      <x:c r="B555" s="21" t="str">
        <x:v>PSP.000.259</x:v>
      </x:c>
      <x:c r="C555" s="57" t="str">
        <x:v>Perfil.Pergola. Travessa 80x40 5,00m preto (13007009) PCT1 1kg.=</x:v>
      </x:c>
      <x:c r="D555" s="21" t="str">
        <x:v>Preto</x:v>
      </x:c>
      <x:c r="E555" s="24" t="n">
        <x:v>39.74</x:v>
      </x:c>
      <x:c r="F555" s="34"/>
      <x:c r="G555" s="21" t="str">
        <x:v>sem-fator</x:v>
      </x:c>
      <x:c r="H555" s="35" t="str">
        <x:f>IFERROR(E555/F555,"")</x:f>
      </x:c>
      <x:c r="I555" s="17" t="str">
        <x:v>Pendente</x:v>
      </x:c>
    </x:row>
    <x:row r="556">
      <x:c r="A556" s="16" t="n">
        <x:v>556</x:v>
      </x:c>
      <x:c r="B556" s="21" t="str">
        <x:v>PSP.000.121</x:v>
      </x:c>
      <x:c r="C556" s="57" t="str">
        <x:v>Perfil.PergoMax. Arrem. suporte laminas 7584 4,00m (e 6,00m) Pintar (75804050)  06/231kg.=10,40m  F1286</x:v>
      </x:c>
      <x:c r="D556" s="21" t="str">
        <x:v>Alumínio cru</x:v>
      </x:c>
      <x:c r="E556" s="24" t="n">
        <x:v>34.74</x:v>
      </x:c>
      <x:c r="F556" s="34" t="n">
        <x:v>10.4</x:v>
      </x:c>
      <x:c r="G556" s="21" t="str">
        <x:v>descricao</x:v>
      </x:c>
      <x:c r="H556" s="35" t="n">
        <x:f>IFERROR(E556/F556,"")</x:f>
        <x:v>3.3403846153846155</x:v>
      </x:c>
      <x:c r="I556" s="17" t="str">
        <x:v>Precificado</x:v>
      </x:c>
    </x:row>
    <x:row r="557">
      <x:c r="A557" s="16" t="n">
        <x:v>557</x:v>
      </x:c>
      <x:c r="B557" s="21" t="str">
        <x:v>PSP.000.103</x:v>
      </x:c>
      <x:c r="C557" s="57" t="str">
        <x:v>Perfil.PergoMax. Arrem. suporte laminas 7584 6,00m (e 4,00m) Pintar (75806050)1kg.=10,40m F1286</x:v>
      </x:c>
      <x:c r="D557" s="21" t="str">
        <x:v>Alumínio cru</x:v>
      </x:c>
      <x:c r="E557" s="24" t="n">
        <x:v>34.74</x:v>
      </x:c>
      <x:c r="F557" s="34" t="n">
        <x:v>10.4</x:v>
      </x:c>
      <x:c r="G557" s="21" t="str">
        <x:v>descricao</x:v>
      </x:c>
      <x:c r="H557" s="35" t="n">
        <x:f>IFERROR(E557/F557,"")</x:f>
        <x:v>3.3403846153846155</x:v>
      </x:c>
      <x:c r="I557" s="17" t="str">
        <x:v>Precificado</x:v>
      </x:c>
    </x:row>
    <x:row r="558">
      <x:c r="A558" s="16" t="n">
        <x:v>558</x:v>
      </x:c>
      <x:c r="B558" s="21" t="str">
        <x:v>PSP.000.104</x:v>
      </x:c>
      <x:c r="C558" s="57" t="str">
        <x:v>Perfil.PergoMax. calha 6,00m Pintar (75926050) 1kg.=0,5128 06/23 F1286</x:v>
      </x:c>
      <x:c r="D558" s="21" t="str">
        <x:v>Alumínio cru</x:v>
      </x:c>
      <x:c r="E558" s="24" t="n">
        <x:v>34.74</x:v>
      </x:c>
      <x:c r="F558" s="34" t="n">
        <x:v>0.5128</x:v>
      </x:c>
      <x:c r="G558" s="21" t="str">
        <x:v>descricao</x:v>
      </x:c>
      <x:c r="H558" s="35" t="n">
        <x:f>IFERROR(E558/F558,"")</x:f>
        <x:v>67.74570982839313</x:v>
      </x:c>
      <x:c r="I558" s="17" t="str">
        <x:v>Precificado</x:v>
      </x:c>
    </x:row>
    <x:row r="559">
      <x:c r="A559" s="16" t="n">
        <x:v>559</x:v>
      </x:c>
      <x:c r="B559" s="21" t="str">
        <x:v>PSP.000.073</x:v>
      </x:c>
      <x:c r="C559" s="57" t="str">
        <x:v>Perfil.PergoMax. Chato Aco 16x4mm 6,00m Pintar (75916050) 1kg.= 1,01m 06/23  F1286</x:v>
      </x:c>
      <x:c r="D559" s="21" t="str">
        <x:v>Aço/outros</x:v>
      </x:c>
      <x:c r="E559" s="24" t="n">
        <x:v>20</x:v>
      </x:c>
      <x:c r="F559" s="34" t="n">
        <x:v>1.01</x:v>
      </x:c>
      <x:c r="G559" s="21" t="str">
        <x:v>descricao</x:v>
      </x:c>
      <x:c r="H559" s="35" t="n">
        <x:f>IFERROR(E559/F559,"")</x:f>
        <x:v>19.801980198019802</x:v>
      </x:c>
      <x:c r="I559" s="17" t="str">
        <x:v>Precificado</x:v>
      </x:c>
    </x:row>
    <x:row r="560">
      <x:c r="A560" s="16" t="n">
        <x:v>560</x:v>
      </x:c>
      <x:c r="B560" s="21" t="str">
        <x:v>PSP.000.086</x:v>
      </x:c>
      <x:c r="C560" s="57" t="str">
        <x:v>Perfil.PergoMax. Frontal 4,00m (e6m) Pintar (75934050) (B) 1kg.=0,1973m 06/23 F1286</x:v>
      </x:c>
      <x:c r="D560" s="21" t="str">
        <x:v>Alumínio cru</x:v>
      </x:c>
      <x:c r="E560" s="24" t="n">
        <x:v>34.74</x:v>
      </x:c>
      <x:c r="F560" s="34" t="n">
        <x:v>0.1973</x:v>
      </x:c>
      <x:c r="G560" s="21" t="str">
        <x:v>descricao</x:v>
      </x:c>
      <x:c r="H560" s="35" t="n">
        <x:f>IFERROR(E560/F560,"")</x:f>
        <x:v>176.0770400405474</x:v>
      </x:c>
      <x:c r="I560" s="17" t="str">
        <x:v>Precificado</x:v>
      </x:c>
    </x:row>
    <x:row r="561">
      <x:c r="A561" s="16" t="n">
        <x:v>561</x:v>
      </x:c>
      <x:c r="B561" s="21" t="str">
        <x:v>PSP.000.086.1</x:v>
      </x:c>
      <x:c r="C561" s="57" t="str">
        <x:v>Perfil.PergoMax. Frontal 6,00m (e4,00m) Pintar (75936050) 1kg.=0,1973m 06/23 F1286</x:v>
      </x:c>
      <x:c r="D561" s="21" t="str">
        <x:v>Alumínio cru</x:v>
      </x:c>
      <x:c r="E561" s="24" t="n">
        <x:v>34.74</x:v>
      </x:c>
      <x:c r="F561" s="34" t="n">
        <x:v>0.1973</x:v>
      </x:c>
      <x:c r="G561" s="21" t="str">
        <x:v>descricao</x:v>
      </x:c>
      <x:c r="H561" s="35" t="n">
        <x:f>IFERROR(E561/F561,"")</x:f>
        <x:v>176.0770400405474</x:v>
      </x:c>
      <x:c r="I561" s="17" t="str">
        <x:v>Precificado</x:v>
      </x:c>
    </x:row>
    <x:row r="562">
      <x:c r="A562" s="16" t="n">
        <x:v>562</x:v>
      </x:c>
      <x:c r="B562" s="21" t="str">
        <x:v>PSP.000.099</x:v>
      </x:c>
      <x:c r="C562" s="57" t="str">
        <x:v>Perfil.PergoMax. Inferior acabamento mot. 4,00m Pintar(75864050) 1kg.=0,94m  06/23  F1286</x:v>
      </x:c>
      <x:c r="D562" s="21" t="str">
        <x:v>Alumínio cru</x:v>
      </x:c>
      <x:c r="E562" s="24" t="n">
        <x:v>34.74</x:v>
      </x:c>
      <x:c r="F562" s="34" t="n">
        <x:v>0.94</x:v>
      </x:c>
      <x:c r="G562" s="21" t="str">
        <x:v>descricao</x:v>
      </x:c>
      <x:c r="H562" s="35" t="n">
        <x:f>IFERROR(E562/F562,"")</x:f>
        <x:v>36.957446808510646</x:v>
      </x:c>
      <x:c r="I562" s="17" t="str">
        <x:v>Precificado</x:v>
      </x:c>
    </x:row>
    <x:row r="563">
      <x:c r="A563" s="16" t="n">
        <x:v>563</x:v>
      </x:c>
      <x:c r="B563" s="21" t="str">
        <x:v>PSP.000.084</x:v>
      </x:c>
      <x:c r="C563" s="57" t="str">
        <x:v>Perfil.PergoMax. Lamina 182mm Pintar 75834050 76914050-4m (e 6,00m) (A) 1kg.=0,347 F1286</x:v>
      </x:c>
      <x:c r="D563" s="21" t="str">
        <x:v>Alumínio cru</x:v>
      </x:c>
      <x:c r="E563" s="24" t="n">
        <x:v>34.74</x:v>
      </x:c>
      <x:c r="F563" s="34" t="n">
        <x:v>0.347</x:v>
      </x:c>
      <x:c r="G563" s="21" t="str">
        <x:v>descricao</x:v>
      </x:c>
      <x:c r="H563" s="35" t="n">
        <x:f>IFERROR(E563/F563,"")</x:f>
        <x:v>100.11527377521615</x:v>
      </x:c>
      <x:c r="I563" s="17" t="str">
        <x:v>Precificado</x:v>
      </x:c>
    </x:row>
    <x:row r="564">
      <x:c r="A564" s="16" t="n">
        <x:v>564</x:v>
      </x:c>
      <x:c r="B564" s="21" t="str">
        <x:v>PSP.000.097</x:v>
      </x:c>
      <x:c r="C564" s="57" t="str">
        <x:v>Perfil.PergoMax. Lamina 182mm Pintar 75836050-6,00m (e 4,00m) 1kg.=0,347 F1286</x:v>
      </x:c>
      <x:c r="D564" s="21" t="str">
        <x:v>Alumínio cru</x:v>
      </x:c>
      <x:c r="E564" s="24" t="n">
        <x:v>34.74</x:v>
      </x:c>
      <x:c r="F564" s="34" t="n">
        <x:v>0.347</x:v>
      </x:c>
      <x:c r="G564" s="21" t="str">
        <x:v>descricao</x:v>
      </x:c>
      <x:c r="H564" s="35" t="n">
        <x:f>IFERROR(E564/F564,"")</x:f>
        <x:v>100.11527377521615</x:v>
      </x:c>
      <x:c r="I564" s="17" t="str">
        <x:v>Precificado</x:v>
      </x:c>
    </x:row>
    <x:row r="565">
      <x:c r="A565" s="16" t="n">
        <x:v>565</x:v>
      </x:c>
      <x:c r="B565" s="21" t="str">
        <x:v>PSP.000.101</x:v>
      </x:c>
      <x:c r="C565" s="57" t="str">
        <x:v>Perfil.PergoMax. Lamina de compensacao 4,00m Pintar (75884050)1kg.=0,72m  06/23 F1286</x:v>
      </x:c>
      <x:c r="D565" s="21" t="str">
        <x:v>Alumínio cru</x:v>
      </x:c>
      <x:c r="E565" s="24" t="n">
        <x:v>34.74</x:v>
      </x:c>
      <x:c r="F565" s="34" t="n">
        <x:v>0.72</x:v>
      </x:c>
      <x:c r="G565" s="21" t="str">
        <x:v>descricao</x:v>
      </x:c>
      <x:c r="H565" s="35" t="n">
        <x:f>IFERROR(E565/F565,"")</x:f>
        <x:v>48.25000000000001</x:v>
      </x:c>
      <x:c r="I565" s="17" t="str">
        <x:v>Precificado</x:v>
      </x:c>
    </x:row>
    <x:row r="566">
      <x:c r="A566" s="16" t="n">
        <x:v>566</x:v>
      </x:c>
      <x:c r="B566" s="21" t="str">
        <x:v>PSP.000.144</x:v>
      </x:c>
      <x:c r="C566" s="57" t="str">
        <x:v>Perfil.PergoMax. Lateral 4,00m (e 6,00m) pintar (75904050-76904050) 06/23 (B) 1kg.=0,41m f1286</x:v>
      </x:c>
      <x:c r="D566" s="21" t="str">
        <x:v>Alumínio cru</x:v>
      </x:c>
      <x:c r="E566" s="24" t="n">
        <x:v>34.74</x:v>
      </x:c>
      <x:c r="F566" s="34" t="n">
        <x:v>0.41</x:v>
      </x:c>
      <x:c r="G566" s="21" t="str">
        <x:v>descricao</x:v>
      </x:c>
      <x:c r="H566" s="35" t="n">
        <x:f>IFERROR(E566/F566,"")</x:f>
        <x:v>84.73170731707319</x:v>
      </x:c>
      <x:c r="I566" s="17" t="str">
        <x:v>Precificado</x:v>
      </x:c>
    </x:row>
    <x:row r="567">
      <x:c r="A567" s="16" t="n">
        <x:v>567</x:v>
      </x:c>
      <x:c r="B567" s="21" t="str">
        <x:v>PSP.000.106</x:v>
      </x:c>
      <x:c r="C567" s="57" t="str">
        <x:v>Perfil.PergoMax. Lateral 6,00m (e 4,00m) Pintar (75906050 76906050) cm0,40 1kg.=0,41 06/23 cpr (B) PCT36MF1286</x:v>
      </x:c>
      <x:c r="D567" s="21" t="str">
        <x:v>Alumínio cru</x:v>
      </x:c>
      <x:c r="E567" s="24" t="n">
        <x:v>34.74</x:v>
      </x:c>
      <x:c r="F567" s="34" t="n">
        <x:v>0.41</x:v>
      </x:c>
      <x:c r="G567" s="21" t="str">
        <x:v>descricao</x:v>
      </x:c>
      <x:c r="H567" s="35" t="n">
        <x:f>IFERROR(E567/F567,"")</x:f>
        <x:v>84.73170731707319</x:v>
      </x:c>
      <x:c r="I567" s="17" t="str">
        <x:v>Precificado</x:v>
      </x:c>
    </x:row>
    <x:row r="568">
      <x:c r="A568" s="16" t="n">
        <x:v>568</x:v>
      </x:c>
      <x:c r="B568" s="21" t="str">
        <x:v>PSP.000.120</x:v>
      </x:c>
      <x:c r="C568" s="57" t="str">
        <x:v>Perfil.PergoMax. Lateral Suporte Lamina 4,00m (e 6,00m) Pintar (75844050) 1kg.= 1,607m f1286</x:v>
      </x:c>
      <x:c r="D568" s="21" t="str">
        <x:v>Alumínio cru</x:v>
      </x:c>
      <x:c r="E568" s="24" t="n">
        <x:v>34.74</x:v>
      </x:c>
      <x:c r="F568" s="34" t="n">
        <x:v>1.607</x:v>
      </x:c>
      <x:c r="G568" s="21" t="str">
        <x:v>descricao</x:v>
      </x:c>
      <x:c r="H568" s="35" t="n">
        <x:f>IFERROR(E568/F568,"")</x:f>
        <x:v>21.61792159303049</x:v>
      </x:c>
      <x:c r="I568" s="17" t="str">
        <x:v>Precificado</x:v>
      </x:c>
    </x:row>
    <x:row r="569">
      <x:c r="A569" s="16" t="n">
        <x:v>569</x:v>
      </x:c>
      <x:c r="B569" s="21" t="str">
        <x:v>PSP.000.102</x:v>
      </x:c>
      <x:c r="C569" s="57" t="str">
        <x:v>Perfil.PergoMax. Lateral suporte lamina 6,00m (e 4,00m) Pintar (75846050) 1kg.=1,607m 06/23  F1286</x:v>
      </x:c>
      <x:c r="D569" s="21" t="str">
        <x:v>Alumínio cru</x:v>
      </x:c>
      <x:c r="E569" s="24" t="n">
        <x:v>34.74</x:v>
      </x:c>
      <x:c r="F569" s="34" t="n">
        <x:v>1.607</x:v>
      </x:c>
      <x:c r="G569" s="21" t="str">
        <x:v>descricao</x:v>
      </x:c>
      <x:c r="H569" s="35" t="n">
        <x:f>IFERROR(E569/F569,"")</x:f>
        <x:v>21.61792159303049</x:v>
      </x:c>
      <x:c r="I569" s="17" t="str">
        <x:v>Precificado</x:v>
      </x:c>
    </x:row>
    <x:row r="570">
      <x:c r="A570" s="16" t="n">
        <x:v>570</x:v>
      </x:c>
      <x:c r="B570" s="21" t="str">
        <x:v>PSP.000.105</x:v>
      </x:c>
      <x:c r="C570" s="57" t="str">
        <x:v>Perfil.PergoMax. Pilar reforcado 125 x 125mm 6,00m cru (75896050) (B) 1kg.=0,253  Pct6fF1286</x:v>
      </x:c>
      <x:c r="D570" s="21" t="str">
        <x:v>Alumínio cru</x:v>
      </x:c>
      <x:c r="E570" s="24" t="n">
        <x:v>34.74</x:v>
      </x:c>
      <x:c r="F570" s="34" t="n">
        <x:v>0.253</x:v>
      </x:c>
      <x:c r="G570" s="21" t="str">
        <x:v>descricao</x:v>
      </x:c>
      <x:c r="H570" s="35" t="n">
        <x:f>IFERROR(E570/F570,"")</x:f>
        <x:v>137.31225296442688</x:v>
      </x:c>
      <x:c r="I570" s="17" t="str">
        <x:v>Precificado</x:v>
      </x:c>
    </x:row>
    <x:row r="571">
      <x:c r="A571" s="16" t="n">
        <x:v>571</x:v>
      </x:c>
      <x:c r="B571" s="21" t="str">
        <x:v>PSP.000.098</x:v>
      </x:c>
      <x:c r="C571" s="57" t="str">
        <x:v>Perfil.PergoMax. Superior Protecao Mot 4,00m Pintar (75854050)1kg.=0,688  06/23 F1286</x:v>
      </x:c>
      <x:c r="D571" s="21" t="str">
        <x:v>Alumínio cru</x:v>
      </x:c>
      <x:c r="E571" s="24" t="n">
        <x:v>34.74</x:v>
      </x:c>
      <x:c r="F571" s="34" t="n">
        <x:v>0.688</x:v>
      </x:c>
      <x:c r="G571" s="21" t="str">
        <x:v>descricao</x:v>
      </x:c>
      <x:c r="H571" s="35" t="n">
        <x:f>IFERROR(E571/F571,"")</x:f>
        <x:v>50.494186046511636</x:v>
      </x:c>
      <x:c r="I571" s="17" t="str">
        <x:v>Precificado</x:v>
      </x:c>
    </x:row>
    <x:row r="572">
      <x:c r="A572" s="16" t="n">
        <x:v>572</x:v>
      </x:c>
      <x:c r="B572" s="21" t="str">
        <x:v>PSP.000.100</x:v>
      </x:c>
      <x:c r="C572" s="57" t="str">
        <x:v>Perfil.PergoMax. Suporte Lamina Compensacao 4,00m Pintar (75874050)1kg.=3,83 06/23  F1286</x:v>
      </x:c>
      <x:c r="D572" s="21" t="str">
        <x:v>Alumínio cru</x:v>
      </x:c>
      <x:c r="E572" s="24" t="n">
        <x:v>34.74</x:v>
      </x:c>
      <x:c r="F572" s="34" t="n">
        <x:v>3.83</x:v>
      </x:c>
      <x:c r="G572" s="21" t="str">
        <x:v>descricao</x:v>
      </x:c>
      <x:c r="H572" s="35" t="n">
        <x:f>IFERROR(E572/F572,"")</x:f>
        <x:v>9.070496083550914</x:v>
      </x:c>
      <x:c r="I572" s="17" t="str">
        <x:v>Precificado</x:v>
      </x:c>
    </x:row>
    <x:row r="573">
      <x:c r="A573" s="16" t="n">
        <x:v>573</x:v>
      </x:c>
      <x:c r="B573" s="21" t="str">
        <x:v>PSP.000.245</x:v>
      </x:c>
      <x:c r="C573" s="57" t="str">
        <x:v>Perfil.PergoMax. Tubo Aco octagonal 60mm Pintar 4,00m  (90624050) 1kg.=0,82  F1286</x:v>
      </x:c>
      <x:c r="D573" s="21" t="str">
        <x:v>Aço/outros</x:v>
      </x:c>
      <x:c r="E573" s="24" t="n">
        <x:v>20</x:v>
      </x:c>
      <x:c r="F573" s="34" t="n">
        <x:v>0.82</x:v>
      </x:c>
      <x:c r="G573" s="21" t="str">
        <x:v>descricao</x:v>
      </x:c>
      <x:c r="H573" s="35" t="n">
        <x:f>IFERROR(E573/F573,"")</x:f>
        <x:v>24.390243902439025</x:v>
      </x:c>
      <x:c r="I573" s="17" t="str">
        <x:v>Precificado</x:v>
      </x:c>
    </x:row>
    <x:row r="574">
      <x:c r="A574" s="16" t="n">
        <x:v>574</x:v>
      </x:c>
      <x:c r="B574" s="21" t="str">
        <x:v>PSP.000.088</x:v>
      </x:c>
      <x:c r="C574" s="57" t="str">
        <x:v>Perfil.PergoRain. Barra frontal 4,50m Pintar (18004550) (1kg.=0,6m)  06/23 f1286</x:v>
      </x:c>
      <x:c r="D574" s="21" t="str">
        <x:v>Alumínio cru</x:v>
      </x:c>
      <x:c r="E574" s="24" t="n">
        <x:v>34.74</x:v>
      </x:c>
      <x:c r="F574" s="34" t="n">
        <x:v>0.6</x:v>
      </x:c>
      <x:c r="G574" s="21" t="str">
        <x:v>descricao</x:v>
      </x:c>
      <x:c r="H574" s="35" t="n">
        <x:f>IFERROR(E574/F574,"")</x:f>
        <x:v>57.900000000000006</x:v>
      </x:c>
      <x:c r="I574" s="17" t="str">
        <x:v>Precificado</x:v>
      </x:c>
    </x:row>
    <x:row r="575">
      <x:c r="A575" s="16" t="n">
        <x:v>575</x:v>
      </x:c>
      <x:c r="B575" s="21" t="str">
        <x:v>PSP.000.090</x:v>
      </x:c>
      <x:c r="C575" s="57" t="str">
        <x:v>Perfil.PergoRain. Barra intermediaria 4,50m Pintar (18054550) (1kg.=0,957m) 06/23 f1286</x:v>
      </x:c>
      <x:c r="D575" s="21" t="str">
        <x:v>Alumínio cru</x:v>
      </x:c>
      <x:c r="E575" s="24" t="n">
        <x:v>34.74</x:v>
      </x:c>
      <x:c r="F575" s="34" t="n">
        <x:v>0.957</x:v>
      </x:c>
      <x:c r="G575" s="21" t="str">
        <x:v>descricao</x:v>
      </x:c>
      <x:c r="H575" s="35" t="n">
        <x:f>IFERROR(E575/F575,"")</x:f>
        <x:v>36.30094043887148</x:v>
      </x:c>
      <x:c r="I575" s="17" t="str">
        <x:v>Precificado</x:v>
      </x:c>
    </x:row>
    <x:row r="576">
      <x:c r="A576" s="16" t="n">
        <x:v>576</x:v>
      </x:c>
      <x:c r="B576" s="21" t="str">
        <x:v>PSP.000.094</x:v>
      </x:c>
      <x:c r="C576" s="57" t="str">
        <x:v>Perfil.PergoRain. Calha estrutural 125mm 4,50m Pintar (14614550) 1kg.=0,353 F1286</x:v>
      </x:c>
      <x:c r="D576" s="21" t="str">
        <x:v>Alumínio cru</x:v>
      </x:c>
      <x:c r="E576" s="24" t="n">
        <x:v>34.74</x:v>
      </x:c>
      <x:c r="F576" s="34" t="n">
        <x:v>0.353</x:v>
      </x:c>
      <x:c r="G576" s="21" t="str">
        <x:v>descricao</x:v>
      </x:c>
      <x:c r="H576" s="35" t="n">
        <x:f>IFERROR(E576/F576,"")</x:f>
        <x:v>98.41359773371106</x:v>
      </x:c>
      <x:c r="I576" s="17" t="str">
        <x:v>Precificado</x:v>
      </x:c>
    </x:row>
    <x:row r="577">
      <x:c r="A577" s="16" t="n">
        <x:v>577</x:v>
      </x:c>
      <x:c r="B577" s="21" t="str">
        <x:v>PSP.000.138</x:v>
      </x:c>
      <x:c r="C577" s="57" t="str">
        <x:v>Perfil.PergoRain. Calha para entre paredes Pintar 4,50m (18454550) (1kg.=0,52m) 06/23 f1286</x:v>
      </x:c>
      <x:c r="D577" s="21" t="str">
        <x:v>Alumínio cru</x:v>
      </x:c>
      <x:c r="E577" s="24" t="n">
        <x:v>34.74</x:v>
      </x:c>
      <x:c r="F577" s="34" t="n">
        <x:v>0.52</x:v>
      </x:c>
      <x:c r="G577" s="21" t="str">
        <x:v>descricao</x:v>
      </x:c>
      <x:c r="H577" s="35" t="n">
        <x:f>IFERROR(E577/F577,"")</x:f>
        <x:v>66.8076923076923</x:v>
      </x:c>
      <x:c r="I577" s="17" t="str">
        <x:v>Precificado</x:v>
      </x:c>
    </x:row>
    <x:row r="578">
      <x:c r="A578" s="16" t="n">
        <x:v>578</x:v>
      </x:c>
      <x:c r="B578" s="21" t="str">
        <x:v>PSP.000.093</x:v>
      </x:c>
      <x:c r="C578" s="57" t="str">
        <x:v>Perfil.PergoRain. Guia 5,00m (8,00m e 7,00m) Pintar (18115050) (1kg.=0,224m)  06/23  F1286</x:v>
      </x:c>
      <x:c r="D578" s="21" t="str">
        <x:v>Alumínio cru</x:v>
      </x:c>
      <x:c r="E578" s="24" t="n">
        <x:v>34.74</x:v>
      </x:c>
      <x:c r="F578" s="34" t="n">
        <x:v>0.224</x:v>
      </x:c>
      <x:c r="G578" s="21" t="str">
        <x:v>descricao</x:v>
      </x:c>
      <x:c r="H578" s="35" t="n">
        <x:f>IFERROR(E578/F578,"")</x:f>
        <x:v>155.08928571428572</x:v>
      </x:c>
      <x:c r="I578" s="17" t="str">
        <x:v>Precificado</x:v>
      </x:c>
    </x:row>
    <x:row r="579">
      <x:c r="A579" s="16" t="n">
        <x:v>579</x:v>
      </x:c>
      <x:c r="B579" s="21" t="str">
        <x:v>PSP.000.128</x:v>
      </x:c>
      <x:c r="C579" s="57" t="str">
        <x:v>Perfil.PergoRain. Guia 7,00m (5,00m e 8,00m) Pintar (18117050) 1kg.=0,224 06/23  f1286</x:v>
      </x:c>
      <x:c r="D579" s="21" t="str">
        <x:v>Alumínio cru</x:v>
      </x:c>
      <x:c r="E579" s="24" t="n">
        <x:v>34.74</x:v>
      </x:c>
      <x:c r="F579" s="34" t="n">
        <x:v>0.224</x:v>
      </x:c>
      <x:c r="G579" s="21" t="str">
        <x:v>descricao</x:v>
      </x:c>
      <x:c r="H579" s="35" t="n">
        <x:f>IFERROR(E579/F579,"")</x:f>
        <x:v>155.08928571428572</x:v>
      </x:c>
      <x:c r="I579" s="17" t="str">
        <x:v>Precificado</x:v>
      </x:c>
    </x:row>
    <x:row r="580">
      <x:c r="A580" s="16" t="n">
        <x:v>580</x:v>
      </x:c>
      <x:c r="B580" s="21" t="str">
        <x:v>PSP.000.123</x:v>
      </x:c>
      <x:c r="C580" s="57" t="str">
        <x:v>Perfil.PergoRain. Guia 8,00m (5,00m e 7,00m) pintar (18118050) 1kg.=0,224  06/23 f1286</x:v>
      </x:c>
      <x:c r="D580" s="21" t="str">
        <x:v>Alumínio cru</x:v>
      </x:c>
      <x:c r="E580" s="24" t="n">
        <x:v>34.74</x:v>
      </x:c>
      <x:c r="F580" s="34" t="n">
        <x:v>0.224</x:v>
      </x:c>
      <x:c r="G580" s="21" t="str">
        <x:v>descricao</x:v>
      </x:c>
      <x:c r="H580" s="35" t="n">
        <x:f>IFERROR(E580/F580,"")</x:f>
        <x:v>155.08928571428572</x:v>
      </x:c>
      <x:c r="I580" s="17" t="str">
        <x:v>Precificado</x:v>
      </x:c>
    </x:row>
    <x:row r="581">
      <x:c r="A581" s="16" t="n">
        <x:v>581</x:v>
      </x:c>
      <x:c r="B581" s="21" t="str">
        <x:v>PSP.000.127</x:v>
      </x:c>
      <x:c r="C581" s="57" t="str">
        <x:v>Perfil.PergoRain. Para Franja 6,00m Pintar (13206050) 06/23 (1kg.=7,5m) f1286</x:v>
      </x:c>
      <x:c r="D581" s="21" t="str">
        <x:v>Alumínio cru</x:v>
      </x:c>
      <x:c r="E581" s="24" t="n">
        <x:v>34.74</x:v>
      </x:c>
      <x:c r="F581" s="34" t="n">
        <x:v>7.5</x:v>
      </x:c>
      <x:c r="G581" s="21" t="str">
        <x:v>descricao</x:v>
      </x:c>
      <x:c r="H581" s="35" t="n">
        <x:f>IFERROR(E581/F581,"")</x:f>
        <x:v>4.632000000000001</x:v>
      </x:c>
      <x:c r="I581" s="17" t="str">
        <x:v>Precificado</x:v>
      </x:c>
    </x:row>
    <x:row r="582">
      <x:c r="A582" s="16" t="n">
        <x:v>582</x:v>
      </x:c>
      <x:c r="B582" s="21" t="str">
        <x:v>PSP.000.126</x:v>
      </x:c>
      <x:c r="C582" s="57" t="str">
        <x:v>Perfil.PergoRain. Pilar 125 x 125mm 7,00m Pintar (14667050) 1kg.=0,59m  06/23 f1286</x:v>
      </x:c>
      <x:c r="D582" s="21" t="str">
        <x:v>Alumínio cru</x:v>
      </x:c>
      <x:c r="E582" s="24" t="n">
        <x:v>34.74</x:v>
      </x:c>
      <x:c r="F582" s="34" t="n">
        <x:v>0.59</x:v>
      </x:c>
      <x:c r="G582" s="21" t="str">
        <x:v>descricao</x:v>
      </x:c>
      <x:c r="H582" s="35" t="n">
        <x:f>IFERROR(E582/F582,"")</x:f>
        <x:v>58.8813559322034</x:v>
      </x:c>
      <x:c r="I582" s="17" t="str">
        <x:v>Precificado</x:v>
      </x:c>
    </x:row>
    <x:row r="583">
      <x:c r="A583" s="16" t="n">
        <x:v>583</x:v>
      </x:c>
      <x:c r="B583" s="21" t="str">
        <x:v>PSP.000.096</x:v>
      </x:c>
      <x:c r="C583" s="57" t="str">
        <x:v>Perfil.PergoRain. Teto para 210mm 5,00m (e 7,00m) Pintar (92105050) 1kg.= 0,75m 06/23 F1286</x:v>
      </x:c>
      <x:c r="D583" s="21" t="str">
        <x:v>Alumínio cru</x:v>
      </x:c>
      <x:c r="E583" s="24" t="n">
        <x:v>34.74</x:v>
      </x:c>
      <x:c r="F583" s="34" t="n">
        <x:v>0.75</x:v>
      </x:c>
      <x:c r="G583" s="21" t="str">
        <x:v>descricao</x:v>
      </x:c>
      <x:c r="H583" s="35" t="n">
        <x:f>IFERROR(E583/F583,"")</x:f>
        <x:v>46.32</x:v>
      </x:c>
      <x:c r="I583" s="17" t="str">
        <x:v>Precificado</x:v>
      </x:c>
    </x:row>
    <x:row r="584">
      <x:c r="A584" s="16" t="n">
        <x:v>584</x:v>
      </x:c>
      <x:c r="B584" s="21" t="str">
        <x:v>PSP.000.139</x:v>
      </x:c>
      <x:c r="C584" s="57" t="str">
        <x:v>Perfil.PergoRain. Travessa 80x40 5,00m Pintar (13005050) 06/23 1kg.=0,81f1286</x:v>
      </x:c>
      <x:c r="D584" s="21" t="str">
        <x:v>Alumínio cru</x:v>
      </x:c>
      <x:c r="E584" s="24" t="n">
        <x:v>34.74</x:v>
      </x:c>
      <x:c r="F584" s="34" t="n">
        <x:v>0.81</x:v>
      </x:c>
      <x:c r="G584" s="21" t="str">
        <x:v>descricao</x:v>
      </x:c>
      <x:c r="H584" s="35" t="n">
        <x:f>IFERROR(E584/F584,"")</x:f>
        <x:v>42.888888888888886</x:v>
      </x:c>
      <x:c r="I584" s="17" t="str">
        <x:v>Precificado</x:v>
      </x:c>
    </x:row>
    <x:row r="585">
      <x:c r="A585" s="16" t="n">
        <x:v>585</x:v>
      </x:c>
      <x:c r="B585" s="21" t="str">
        <x:v>PSP.000.124</x:v>
      </x:c>
      <x:c r="C585" s="57" t="str">
        <x:v>Perfil.PergoRain. Tubo 70mm Pintar 4,00m (e 5,00m)  (91604050) (1kg.=0,88m) 06/23 f1286</x:v>
      </x:c>
      <x:c r="D585" s="21" t="str">
        <x:v>Alumínio cru</x:v>
      </x:c>
      <x:c r="E585" s="24" t="n">
        <x:v>34.74</x:v>
      </x:c>
      <x:c r="F585" s="34" t="n">
        <x:v>0.88</x:v>
      </x:c>
      <x:c r="G585" s="21" t="str">
        <x:v>descricao</x:v>
      </x:c>
      <x:c r="H585" s="35" t="n">
        <x:f>IFERROR(E585/F585,"")</x:f>
        <x:v>39.47727272727273</x:v>
      </x:c>
      <x:c r="I585" s="17" t="str">
        <x:v>Precificado</x:v>
      </x:c>
    </x:row>
    <x:row r="586">
      <x:c r="A586" s="16" t="n">
        <x:v>586</x:v>
      </x:c>
      <x:c r="B586" s="21" t="str">
        <x:v>PSP.000.125</x:v>
      </x:c>
      <x:c r="C586" s="57" t="str">
        <x:v>Perfil.PergoRain. Tubo 70mm Pintar 5,00m (e 4,00m) (91605050) 1kg.=0,82m06/23 f1286</x:v>
      </x:c>
      <x:c r="D586" s="21" t="str">
        <x:v>Alumínio cru</x:v>
      </x:c>
      <x:c r="E586" s="24" t="n">
        <x:v>34.74</x:v>
      </x:c>
      <x:c r="F586" s="34" t="n">
        <x:v>0.82</x:v>
      </x:c>
      <x:c r="G586" s="21" t="str">
        <x:v>descricao</x:v>
      </x:c>
      <x:c r="H586" s="35" t="n">
        <x:f>IFERROR(E586/F586,"")</x:f>
        <x:v>42.365853658536594</x:v>
      </x:c>
      <x:c r="I586" s="17" t="str">
        <x:v>Precificado</x:v>
      </x:c>
    </x:row>
    <x:row r="587">
      <x:c r="A587" s="16" t="n">
        <x:v>587</x:v>
      </x:c>
      <x:c r="B587" s="21" t="str">
        <x:v>PSP.000.150</x:v>
      </x:c>
      <x:c r="C587" s="57" t="str">
        <x:v>Perfil.PergoSun. Barra intermediaria 5,00m (e 7,00m) cru (12255050) {1kg.=2,381ml} F1286</x:v>
      </x:c>
      <x:c r="D587" s="21" t="str">
        <x:v>Alumínio cru</x:v>
      </x:c>
      <x:c r="E587" s="24" t="n">
        <x:v>34.74</x:v>
      </x:c>
      <x:c r="F587" s="34" t="n">
        <x:v>2.381</x:v>
      </x:c>
      <x:c r="G587" s="21" t="str">
        <x:v>descricao</x:v>
      </x:c>
      <x:c r="H587" s="35" t="n">
        <x:f>IFERROR(E587/F587,"")</x:f>
        <x:v>14.590508189836205</x:v>
      </x:c>
      <x:c r="I587" s="17" t="str">
        <x:v>Precificado</x:v>
      </x:c>
    </x:row>
    <x:row r="588">
      <x:c r="A588" s="16" t="n">
        <x:v>588</x:v>
      </x:c>
      <x:c r="B588" s="21" t="str">
        <x:v>PSP.000.147</x:v>
      </x:c>
      <x:c r="C588" s="57" t="str">
        <x:v>Perfil.PergoSun. Barra intermediaria 7,00m (e 5,00m) cru (12257050) 06/23 1kg.=2,38 f1286</x:v>
      </x:c>
      <x:c r="D588" s="21" t="str">
        <x:v>Alumínio cru</x:v>
      </x:c>
      <x:c r="E588" s="24" t="n">
        <x:v>34.74</x:v>
      </x:c>
      <x:c r="F588" s="34" t="n">
        <x:v>2.38</x:v>
      </x:c>
      <x:c r="G588" s="21" t="str">
        <x:v>descricao</x:v>
      </x:c>
      <x:c r="H588" s="35" t="n">
        <x:f>IFERROR(E588/F588,"")</x:f>
        <x:v>14.596638655462186</x:v>
      </x:c>
      <x:c r="I588" s="17" t="str">
        <x:v>Precificado</x:v>
      </x:c>
    </x:row>
    <x:row r="589">
      <x:c r="A589" s="16" t="n">
        <x:v>589</x:v>
      </x:c>
      <x:c r="B589" s="21" t="str">
        <x:v>PSP.000.140</x:v>
      </x:c>
      <x:c r="C589" s="57" t="str">
        <x:v>Perfil.PergoSun. Guia 7,00m (e 5,00m) cru (14517050) 1kg.=0,41m 06/23 f1286</x:v>
      </x:c>
      <x:c r="D589" s="21" t="str">
        <x:v>Alumínio cru</x:v>
      </x:c>
      <x:c r="E589" s="24" t="n">
        <x:v>34.74</x:v>
      </x:c>
      <x:c r="F589" s="34" t="n">
        <x:v>0.41</x:v>
      </x:c>
      <x:c r="G589" s="21" t="str">
        <x:v>descricao</x:v>
      </x:c>
      <x:c r="H589" s="35" t="n">
        <x:f>IFERROR(E589/F589,"")</x:f>
        <x:v>84.73170731707319</x:v>
      </x:c>
      <x:c r="I589" s="17" t="str">
        <x:v>Precificado</x:v>
      </x:c>
    </x:row>
    <x:row r="590">
      <x:c r="A590" s="16" t="n">
        <x:v>590</x:v>
      </x:c>
      <x:c r="B590" s="21" t="str">
        <x:v>PSP.000.148</x:v>
      </x:c>
      <x:c r="C590" s="57" t="str">
        <x:v>Perfil.PergoSun. Guia Cru 5,00m (e 7,00m)  (14515050)  {1kg.=0,4ml 06/23} f1286</x:v>
      </x:c>
      <x:c r="D590" s="21" t="str">
        <x:v>Alumínio cru</x:v>
      </x:c>
      <x:c r="E590" s="24" t="n">
        <x:v>34.74</x:v>
      </x:c>
      <x:c r="F590" s="34" t="n">
        <x:v>0.4</x:v>
      </x:c>
      <x:c r="G590" s="21" t="str">
        <x:v>descricao</x:v>
      </x:c>
      <x:c r="H590" s="35" t="n">
        <x:f>IFERROR(E590/F590,"")</x:f>
        <x:v>86.85</x:v>
      </x:c>
      <x:c r="I590" s="17" t="str">
        <x:v>Precificado</x:v>
      </x:c>
    </x:row>
    <x:row r="591">
      <x:c r="A591" s="16" t="n">
        <x:v>591</x:v>
      </x:c>
      <x:c r="B591" s="21" t="str">
        <x:v>PSP.000.155</x:v>
      </x:c>
      <x:c r="C591" s="57" t="str">
        <x:v>Perfil.PergoVersiplan_Pro Apoio Transversal de Tec. Cru 3,00/m (4m e 5m) (85253050) 06/23 1kg.= F1286</x:v>
      </x:c>
      <x:c r="D591" s="21" t="str">
        <x:v>Alumínio cru</x:v>
      </x:c>
      <x:c r="E591" s="24" t="n">
        <x:v>34.74</x:v>
      </x:c>
      <x:c r="F591" s="34"/>
      <x:c r="G591" s="21" t="str">
        <x:v>sem-fator</x:v>
      </x:c>
      <x:c r="H591" s="35" t="str">
        <x:f>IFERROR(E591/F591,"")</x:f>
      </x:c>
      <x:c r="I591" s="17" t="str">
        <x:v>Pendente</x:v>
      </x:c>
    </x:row>
    <x:row r="592">
      <x:c r="A592" s="16" t="n">
        <x:v>592</x:v>
      </x:c>
      <x:c r="B592" s="21" t="str">
        <x:v>PSP.000.158</x:v>
      </x:c>
      <x:c r="C592" s="57" t="str">
        <x:v>Perfil.PergoVersiplan_Pro Apoio Transversal de Tec. Cru 5,00m (3m e 4m) (85255050) 06/23 1kg.=  F1286</x:v>
      </x:c>
      <x:c r="D592" s="21" t="str">
        <x:v>Alumínio cru</x:v>
      </x:c>
      <x:c r="E592" s="24" t="n">
        <x:v>34.74</x:v>
      </x:c>
      <x:c r="F592" s="34"/>
      <x:c r="G592" s="21" t="str">
        <x:v>sem-fator</x:v>
      </x:c>
      <x:c r="H592" s="35" t="str">
        <x:f>IFERROR(E592/F592,"")</x:f>
      </x:c>
      <x:c r="I592" s="17" t="str">
        <x:v>Pendente</x:v>
      </x:c>
    </x:row>
    <x:row r="593">
      <x:c r="A593" s="16" t="n">
        <x:v>593</x:v>
      </x:c>
      <x:c r="B593" s="21" t="str">
        <x:v>PSP.000.142</x:v>
      </x:c>
      <x:c r="C593" s="57" t="str">
        <x:v>Perfil.PergoVersiplan_Pro Apoio Transversal de Tec.Cru 4,00m (3m e 5m) (85254050) 06/23 1kg.=  F1286</x:v>
      </x:c>
      <x:c r="D593" s="21" t="str">
        <x:v>Alumínio cru</x:v>
      </x:c>
      <x:c r="E593" s="24" t="n">
        <x:v>34.74</x:v>
      </x:c>
      <x:c r="F593" s="34"/>
      <x:c r="G593" s="21" t="str">
        <x:v>sem-fator</x:v>
      </x:c>
      <x:c r="H593" s="35" t="str">
        <x:f>IFERROR(E593/F593,"")</x:f>
      </x:c>
      <x:c r="I593" s="17" t="str">
        <x:v>Pendente</x:v>
      </x:c>
    </x:row>
    <x:row r="594">
      <x:c r="A594" s="16" t="n">
        <x:v>594</x:v>
      </x:c>
      <x:c r="B594" s="21" t="str">
        <x:v>PSP.000.154</x:v>
      </x:c>
      <x:c r="C594" s="57" t="str">
        <x:v>Perfil.PergoVersiplan_Pro Guia Completa 2,50m Pintar (87602550) 1kg=0,2353  F1286</x:v>
      </x:c>
      <x:c r="D594" s="21" t="str">
        <x:v>Alumínio cru</x:v>
      </x:c>
      <x:c r="E594" s="24" t="n">
        <x:v>34.74</x:v>
      </x:c>
      <x:c r="F594" s="34" t="n">
        <x:v>0.2353</x:v>
      </x:c>
      <x:c r="G594" s="21" t="str">
        <x:v>descricao</x:v>
      </x:c>
      <x:c r="H594" s="35" t="n">
        <x:f>IFERROR(E594/F594,"")</x:f>
        <x:v>147.64130896727582</x:v>
      </x:c>
      <x:c r="I594" s="17" t="str">
        <x:v>Precificado</x:v>
      </x:c>
    </x:row>
    <x:row r="595">
      <x:c r="A595" s="16" t="n">
        <x:v>595</x:v>
      </x:c>
      <x:c r="B595" s="21" t="str">
        <x:v>PSP.000.157</x:v>
      </x:c>
      <x:c r="C595" s="57" t="str">
        <x:v>Perfil.PergoVersiplan_Pro Guia completa 4,00m Pintar (87604050) 06/23 (s/c360)  F1286</x:v>
      </x:c>
      <x:c r="D595" s="21" t="str">
        <x:v>Alumínio cru</x:v>
      </x:c>
      <x:c r="E595" s="24" t="n">
        <x:v>34.74</x:v>
      </x:c>
      <x:c r="F595" s="34" t="n">
        <x:v>0.2353</x:v>
      </x:c>
      <x:c r="G595" s="21" t="str">
        <x:v>perfil-equivalente</x:v>
      </x:c>
      <x:c r="H595" s="35" t="n">
        <x:f>IFERROR(E595/F595,"")</x:f>
        <x:v>147.64130896727582</x:v>
      </x:c>
      <x:c r="I595" s="17" t="str">
        <x:v>Precificado</x:v>
      </x:c>
    </x:row>
    <x:row r="596">
      <x:c r="A596" s="16" t="n">
        <x:v>596</x:v>
      </x:c>
      <x:c r="B596" s="21" t="str">
        <x:v>PSP.000.082</x:v>
      </x:c>
      <x:c r="C596" s="57" t="str">
        <x:v>Perfil.PergoVersiplan_Pro Guia completa 6,00m Pintar (87606050) 1kg=0,2353 F1286</x:v>
      </x:c>
      <x:c r="D596" s="21" t="str">
        <x:v>Alumínio cru</x:v>
      </x:c>
      <x:c r="E596" s="24" t="n">
        <x:v>34.74</x:v>
      </x:c>
      <x:c r="F596" s="34" t="n">
        <x:v>0.2353</x:v>
      </x:c>
      <x:c r="G596" s="21" t="str">
        <x:v>descricao</x:v>
      </x:c>
      <x:c r="H596" s="35" t="n">
        <x:f>IFERROR(E596/F596,"")</x:f>
        <x:v>147.64130896727582</x:v>
      </x:c>
      <x:c r="I596" s="17" t="str">
        <x:v>Precificado</x:v>
      </x:c>
    </x:row>
    <x:row r="597">
      <x:c r="A597" s="16" t="n">
        <x:v>597</x:v>
      </x:c>
      <x:c r="B597" s="21" t="str">
        <x:v>PSP.000.156</x:v>
      </x:c>
      <x:c r="C597" s="57" t="str">
        <x:v>Perfil.PergoVersiplan_Pro Kit Caixa e Barra Frontal Pintar 4,00m (6m e 7m) (87504050)1kg=0,1333 F1286</x:v>
      </x:c>
      <x:c r="D597" s="21" t="str">
        <x:v>Alumínio cru</x:v>
      </x:c>
      <x:c r="E597" s="24" t="n">
        <x:v>34.74</x:v>
      </x:c>
      <x:c r="F597" s="34" t="n">
        <x:v>0.1333</x:v>
      </x:c>
      <x:c r="G597" s="21" t="str">
        <x:v>descricao</x:v>
      </x:c>
      <x:c r="H597" s="35" t="n">
        <x:f>IFERROR(E597/F597,"")</x:f>
        <x:v>260.6151537884471</x:v>
      </x:c>
      <x:c r="I597" s="17" t="str">
        <x:v>Precificado</x:v>
      </x:c>
    </x:row>
    <x:row r="598">
      <x:c r="A598" s="16" t="n">
        <x:v>598</x:v>
      </x:c>
      <x:c r="B598" s="21" t="str">
        <x:v>PSP.000.141</x:v>
      </x:c>
      <x:c r="C598" s="57" t="str">
        <x:v>Perfil.PergoVersiplan_Pro Kit Caixa e Barra Frontal Pintar 6m (4m e 7m) 87506050) 1kg=0,1333f1286</x:v>
      </x:c>
      <x:c r="D598" s="21" t="str">
        <x:v>Alumínio cru</x:v>
      </x:c>
      <x:c r="E598" s="24" t="n">
        <x:v>34.74</x:v>
      </x:c>
      <x:c r="F598" s="34" t="n">
        <x:v>0.1333</x:v>
      </x:c>
      <x:c r="G598" s="21" t="str">
        <x:v>descricao</x:v>
      </x:c>
      <x:c r="H598" s="35" t="n">
        <x:f>IFERROR(E598/F598,"")</x:f>
        <x:v>260.6151537884471</x:v>
      </x:c>
      <x:c r="I598" s="17" t="str">
        <x:v>Precificado</x:v>
      </x:c>
    </x:row>
    <x:row r="599">
      <x:c r="A599" s="16" t="n">
        <x:v>599</x:v>
      </x:c>
      <x:c r="B599" s="21" t="str">
        <x:v>PSP.000.143</x:v>
      </x:c>
      <x:c r="C599" s="57" t="str">
        <x:v>Perfil.PergoVersiplan_Pro Kit Caixa e Barra Frontal Pintar 7,00m (4m e 6m) (87507050)1kg=0,13333 f1286</x:v>
      </x:c>
      <x:c r="D599" s="21" t="str">
        <x:v>Alumínio cru</x:v>
      </x:c>
      <x:c r="E599" s="24" t="n">
        <x:v>34.74</x:v>
      </x:c>
      <x:c r="F599" s="34" t="n">
        <x:v>0.13333</x:v>
      </x:c>
      <x:c r="G599" s="21" t="str">
        <x:v>descricao</x:v>
      </x:c>
      <x:c r="H599" s="35" t="n">
        <x:f>IFERROR(E599/F599,"")</x:f>
        <x:v>260.55651391284783</x:v>
      </x:c>
      <x:c r="I599" s="17" t="str">
        <x:v>Precificado</x:v>
      </x:c>
    </x:row>
    <x:row r="600">
      <x:c r="A600" s="16" t="n">
        <x:v>600</x:v>
      </x:c>
      <x:c r="B600" s="21" t="str">
        <x:v>4.1.012.199.1</x:v>
      </x:c>
      <x:c r="C600" s="57" t="str">
        <x:v>Perfil.Rol.Ligh. Base Retangular .Pintar 6067-6m  (1kg.= 3,80808m)</x:v>
      </x:c>
      <x:c r="D600" s="21" t="str">
        <x:v>Alumínio cru</x:v>
      </x:c>
      <x:c r="E600" s="24" t="n">
        <x:v>34.74</x:v>
      </x:c>
      <x:c r="F600" s="34" t="n">
        <x:v>3.80808</x:v>
      </x:c>
      <x:c r="G600" s="21" t="str">
        <x:v>descricao</x:v>
      </x:c>
      <x:c r="H600" s="35" t="n">
        <x:f>IFERROR(E600/F600,"")</x:f>
        <x:v>9.12270750614483</x:v>
      </x:c>
      <x:c r="I600" s="17" t="str">
        <x:v>Precificado</x:v>
      </x:c>
    </x:row>
    <x:row r="601">
      <x:c r="A601" s="16" t="n">
        <x:v>601</x:v>
      </x:c>
      <x:c r="B601" s="21" t="str">
        <x:v>4.1.012.004.1</x:v>
      </x:c>
      <x:c r="C601" s="57" t="str">
        <x:v>Perfil.Rol.Ligh. Base Retangular Bege 6067-6m  (1kg.= 4,1666m)</x:v>
      </x:c>
      <x:c r="D601" s="21" t="str">
        <x:v>Bege</x:v>
      </x:c>
      <x:c r="E601" s="24" t="n">
        <x:v>44.39</x:v>
      </x:c>
      <x:c r="F601" s="34" t="n">
        <x:v>4.1666</x:v>
      </x:c>
      <x:c r="G601" s="21" t="str">
        <x:v>descricao</x:v>
      </x:c>
      <x:c r="H601" s="35" t="n">
        <x:f>IFERROR(E601/F601,"")</x:f>
        <x:v>10.653770460327365</x:v>
      </x:c>
      <x:c r="I601" s="17" t="str">
        <x:v>Precificado</x:v>
      </x:c>
    </x:row>
    <x:row r="602">
      <x:c r="A602" s="16" t="n">
        <x:v>602</x:v>
      </x:c>
      <x:c r="B602" s="21" t="str">
        <x:v>4.1.012.001.1</x:v>
      </x:c>
      <x:c r="C602" s="57" t="str">
        <x:v>Perfil.Rol.Ligh. Base Retangular Branco 6067-6m  (1kg.= 4,1666m)</x:v>
      </x:c>
      <x:c r="D602" s="21" t="str">
        <x:v>Branco</x:v>
      </x:c>
      <x:c r="E602" s="24" t="n">
        <x:v>40.57</x:v>
      </x:c>
      <x:c r="F602" s="34" t="n">
        <x:v>4.1666</x:v>
      </x:c>
      <x:c r="G602" s="21" t="str">
        <x:v>descricao</x:v>
      </x:c>
      <x:c r="H602" s="35" t="n">
        <x:f>IFERROR(E602/F602,"")</x:f>
        <x:v>9.736955791292662</x:v>
      </x:c>
      <x:c r="I602" s="17" t="str">
        <x:v>Precificado</x:v>
      </x:c>
    </x:row>
    <x:row r="603">
      <x:c r="A603" s="16" t="n">
        <x:v>603</x:v>
      </x:c>
      <x:c r="B603" s="21" t="str">
        <x:v>4.1.012.024.1</x:v>
      </x:c>
      <x:c r="C603" s="57" t="str">
        <x:v>Perfil.Rol.Ligh. Base Retangular Cinza 6067-6m  (1kg.= 4,1666m)</x:v>
      </x:c>
      <x:c r="D603" s="21" t="str">
        <x:v>Cinza</x:v>
      </x:c>
      <x:c r="E603" s="24" t="n">
        <x:v>42.61</x:v>
      </x:c>
      <x:c r="F603" s="34" t="n">
        <x:v>4.1666</x:v>
      </x:c>
      <x:c r="G603" s="21" t="str">
        <x:v>descricao</x:v>
      </x:c>
      <x:c r="H603" s="35" t="n">
        <x:f>IFERROR(E603/F603,"")</x:f>
        <x:v>10.226563625018</x:v>
      </x:c>
      <x:c r="I603" s="17" t="str">
        <x:v>Precificado</x:v>
      </x:c>
    </x:row>
    <x:row r="604">
      <x:c r="A604" s="16" t="n">
        <x:v>604</x:v>
      </x:c>
      <x:c r="B604" s="21" t="str">
        <x:v>4.1.012.162.1</x:v>
      </x:c>
      <x:c r="C604" s="57" t="str">
        <x:v>Perfil.Rol.Ligh. Base Retangular Preto 6067-6m  (1kg.= 4,1666m)</x:v>
      </x:c>
      <x:c r="D604" s="21" t="str">
        <x:v>Preto</x:v>
      </x:c>
      <x:c r="E604" s="24" t="n">
        <x:v>39.74</x:v>
      </x:c>
      <x:c r="F604" s="34" t="n">
        <x:v>4.1666</x:v>
      </x:c>
      <x:c r="G604" s="21" t="str">
        <x:v>descricao</x:v>
      </x:c>
      <x:c r="H604" s="35" t="n">
        <x:f>IFERROR(E604/F604,"")</x:f>
        <x:v>9.537752604041666</x:v>
      </x:c>
      <x:c r="I604" s="17" t="str">
        <x:v>Precificado</x:v>
      </x:c>
    </x:row>
    <x:row r="605">
      <x:c r="A605" s="16" t="n">
        <x:v>605</x:v>
      </x:c>
      <x:c r="B605" s="21" t="str">
        <x:v>4.1.017.199.2</x:v>
      </x:c>
      <x:c r="C605" s="57" t="str">
        <x:v>Perfil.Rol.Ligh. Box 70 C .Pintar 2309-6m  (1kg.= 1,9763m)</x:v>
      </x:c>
      <x:c r="D605" s="21" t="str">
        <x:v>Alumínio cru</x:v>
      </x:c>
      <x:c r="E605" s="24" t="n">
        <x:v>34.74</x:v>
      </x:c>
      <x:c r="F605" s="34" t="n">
        <x:v>1.9763</x:v>
      </x:c>
      <x:c r="G605" s="21" t="str">
        <x:v>descricao</x:v>
      </x:c>
      <x:c r="H605" s="35" t="n">
        <x:f>IFERROR(E605/F605,"")</x:f>
        <x:v>17.578302889237467</x:v>
      </x:c>
      <x:c r="I605" s="17" t="str">
        <x:v>Precificado</x:v>
      </x:c>
    </x:row>
    <x:row r="606">
      <x:c r="A606" s="16" t="n">
        <x:v>606</x:v>
      </x:c>
      <x:c r="B606" s="21" t="str">
        <x:v>4.1.017.001.2</x:v>
      </x:c>
      <x:c r="C606" s="57" t="str">
        <x:v>Perfil.Rol.Ligh. Box 70 C Branco 2309-6m  (1kg.= 1,9763m)</x:v>
      </x:c>
      <x:c r="D606" s="21" t="str">
        <x:v>Branco</x:v>
      </x:c>
      <x:c r="E606" s="24" t="n">
        <x:v>40.57</x:v>
      </x:c>
      <x:c r="F606" s="34" t="n">
        <x:v>1.9763</x:v>
      </x:c>
      <x:c r="G606" s="21" t="str">
        <x:v>descricao</x:v>
      </x:c>
      <x:c r="H606" s="35" t="n">
        <x:f>IFERROR(E606/F606,"")</x:f>
        <x:v>20.52825987957294</x:v>
      </x:c>
      <x:c r="I606" s="17" t="str">
        <x:v>Precificado</x:v>
      </x:c>
    </x:row>
    <x:row r="607">
      <x:c r="A607" s="16" t="n">
        <x:v>607</x:v>
      </x:c>
      <x:c r="B607" s="21" t="str">
        <x:v>4.1.017.024.2</x:v>
      </x:c>
      <x:c r="C607" s="57" t="str">
        <x:v>Perfil.Rol.Ligh. Box 70 C Cinza 2309-6m  (1kg.= 1,9763m)</x:v>
      </x:c>
      <x:c r="D607" s="21" t="str">
        <x:v>Cinza</x:v>
      </x:c>
      <x:c r="E607" s="24" t="n">
        <x:v>42.61</x:v>
      </x:c>
      <x:c r="F607" s="34" t="n">
        <x:v>1.9763</x:v>
      </x:c>
      <x:c r="G607" s="21" t="str">
        <x:v>descricao</x:v>
      </x:c>
      <x:c r="H607" s="35" t="n">
        <x:f>IFERROR(E607/F607,"")</x:f>
        <x:v>21.56049182816374</x:v>
      </x:c>
      <x:c r="I607" s="17" t="str">
        <x:v>Precificado</x:v>
      </x:c>
    </x:row>
    <x:row r="608">
      <x:c r="A608" s="16" t="n">
        <x:v>608</x:v>
      </x:c>
      <x:c r="B608" s="21" t="str">
        <x:v>4.1.017.162.2</x:v>
      </x:c>
      <x:c r="C608" s="57" t="str">
        <x:v>Perfil.Rol.Ligh. Box 70 C Preto 2309-6m  (1kg.= 1,9763m)</x:v>
      </x:c>
      <x:c r="D608" s="21" t="str">
        <x:v>Preto</x:v>
      </x:c>
      <x:c r="E608" s="24" t="n">
        <x:v>39.74</x:v>
      </x:c>
      <x:c r="F608" s="34" t="n">
        <x:v>1.9763</x:v>
      </x:c>
      <x:c r="G608" s="21" t="str">
        <x:v>descricao</x:v>
      </x:c>
      <x:c r="H608" s="35" t="n">
        <x:f>IFERROR(E608/F608,"")</x:f>
        <x:v>20.10828315539139</x:v>
      </x:c>
      <x:c r="I608" s="17" t="str">
        <x:v>Precificado</x:v>
      </x:c>
    </x:row>
    <x:row r="609">
      <x:c r="A609" s="16" t="n">
        <x:v>609</x:v>
      </x:c>
      <x:c r="B609" s="21" t="str">
        <x:v>4.1.017.199.1</x:v>
      </x:c>
      <x:c r="C609" s="57" t="str">
        <x:v>Perfil.Rol.Ligh. Box 70 L .Pintar 2308-6m  (1kg.= 1,2484m)</x:v>
      </x:c>
      <x:c r="D609" s="21" t="str">
        <x:v>Alumínio cru</x:v>
      </x:c>
      <x:c r="E609" s="24" t="n">
        <x:v>34.74</x:v>
      </x:c>
      <x:c r="F609" s="34" t="n">
        <x:v>1.2484</x:v>
      </x:c>
      <x:c r="G609" s="21" t="str">
        <x:v>descricao</x:v>
      </x:c>
      <x:c r="H609" s="35" t="n">
        <x:f>IFERROR(E609/F609,"")</x:f>
        <x:v>27.82761935277155</x:v>
      </x:c>
      <x:c r="I609" s="17" t="str">
        <x:v>Precificado</x:v>
      </x:c>
    </x:row>
    <x:row r="610">
      <x:c r="A610" s="16" t="n">
        <x:v>610</x:v>
      </x:c>
      <x:c r="B610" s="21" t="str">
        <x:v>4.1.017.001.1</x:v>
      </x:c>
      <x:c r="C610" s="57" t="str">
        <x:v>Perfil.Rol.Ligh. Box 70 L Branco 2308-6m  (1kg.= 1,2484m)</x:v>
      </x:c>
      <x:c r="D610" s="21" t="str">
        <x:v>Branco</x:v>
      </x:c>
      <x:c r="E610" s="24" t="n">
        <x:v>40.57</x:v>
      </x:c>
      <x:c r="F610" s="34" t="n">
        <x:v>1.2484</x:v>
      </x:c>
      <x:c r="G610" s="21" t="str">
        <x:v>descricao</x:v>
      </x:c>
      <x:c r="H610" s="35" t="n">
        <x:f>IFERROR(E610/F610,"")</x:f>
        <x:v>32.497596924062805</x:v>
      </x:c>
      <x:c r="I610" s="17" t="str">
        <x:v>Precificado</x:v>
      </x:c>
    </x:row>
    <x:row r="611">
      <x:c r="A611" s="16" t="n">
        <x:v>611</x:v>
      </x:c>
      <x:c r="B611" s="21" t="str">
        <x:v>4.1.017.024.1</x:v>
      </x:c>
      <x:c r="C611" s="57" t="str">
        <x:v>Perfil.Rol.Ligh. Box 70 L Cinza 2308-6m  (1kg.= 1,2484m)</x:v>
      </x:c>
      <x:c r="D611" s="21" t="str">
        <x:v>Cinza</x:v>
      </x:c>
      <x:c r="E611" s="24" t="n">
        <x:v>42.61</x:v>
      </x:c>
      <x:c r="F611" s="34" t="n">
        <x:v>1.2484</x:v>
      </x:c>
      <x:c r="G611" s="21" t="str">
        <x:v>descricao</x:v>
      </x:c>
      <x:c r="H611" s="35" t="n">
        <x:f>IFERROR(E611/F611,"")</x:f>
        <x:v>34.13168856135854</x:v>
      </x:c>
      <x:c r="I611" s="17" t="str">
        <x:v>Precificado</x:v>
      </x:c>
    </x:row>
    <x:row r="612">
      <x:c r="A612" s="16" t="n">
        <x:v>612</x:v>
      </x:c>
      <x:c r="B612" s="21" t="str">
        <x:v>4.1.017.162.1</x:v>
      </x:c>
      <x:c r="C612" s="57" t="str">
        <x:v>Perfil.Rol.Ligh. Box 70 L Preto 2308-6m  (1kg.= 1,2484m)</x:v>
      </x:c>
      <x:c r="D612" s="21" t="str">
        <x:v>Preto</x:v>
      </x:c>
      <x:c r="E612" s="24" t="n">
        <x:v>39.74</x:v>
      </x:c>
      <x:c r="F612" s="34" t="n">
        <x:v>1.2484</x:v>
      </x:c>
      <x:c r="G612" s="21" t="str">
        <x:v>descricao</x:v>
      </x:c>
      <x:c r="H612" s="35" t="n">
        <x:f>IFERROR(E612/F612,"")</x:f>
        <x:v>31.83274591477091</x:v>
      </x:c>
      <x:c r="I612" s="17" t="str">
        <x:v>Precificado</x:v>
      </x:c>
    </x:row>
    <x:row r="613">
      <x:c r="A613" s="16" t="n">
        <x:v>613</x:v>
      </x:c>
      <x:c r="B613" s="21" t="str">
        <x:v>001.008.002.000.14</x:v>
      </x:c>
      <x:c r="C613" s="57" t="str">
        <x:v>Perfil.Rol.Ligh. Lateral .PINTAR 5298-6m  {1KG..=1,426887}</x:v>
      </x:c>
      <x:c r="D613" s="21" t="str">
        <x:v>Alumínio cru</x:v>
      </x:c>
      <x:c r="E613" s="24" t="n">
        <x:v>34.74</x:v>
      </x:c>
      <x:c r="F613" s="34" t="n">
        <x:v>1.426887</x:v>
      </x:c>
      <x:c r="G613" s="21" t="str">
        <x:v>descricao</x:v>
      </x:c>
      <x:c r="H613" s="35" t="n">
        <x:f>IFERROR(E613/F613,"")</x:f>
        <x:v>24.346707202462426</x:v>
      </x:c>
      <x:c r="I613" s="17" t="str">
        <x:v>Precificado</x:v>
      </x:c>
    </x:row>
    <x:row r="614">
      <x:c r="A614" s="16" t="n">
        <x:v>614</x:v>
      </x:c>
      <x:c r="B614" s="21" t="str">
        <x:v>001.008.002.001.12.</x:v>
      </x:c>
      <x:c r="C614" s="57" t="str">
        <x:v>Perfil.Rol.Ligh. Lateral Branco 5298-6m (A) {1KG..=1,42690m}</x:v>
      </x:c>
      <x:c r="D614" s="21" t="str">
        <x:v>Branco</x:v>
      </x:c>
      <x:c r="E614" s="24" t="n">
        <x:v>40.57</x:v>
      </x:c>
      <x:c r="F614" s="34" t="n">
        <x:v>1.4269</x:v>
      </x:c>
      <x:c r="G614" s="21" t="str">
        <x:v>descricao</x:v>
      </x:c>
      <x:c r="H614" s="35" t="n">
        <x:f>IFERROR(E614/F614,"")</x:f>
        <x:v>28.432265750928586</x:v>
      </x:c>
      <x:c r="I614" s="17" t="str">
        <x:v>Precificado</x:v>
      </x:c>
    </x:row>
    <x:row r="615">
      <x:c r="A615" s="16" t="n">
        <x:v>615</x:v>
      </x:c>
      <x:c r="B615" s="21" t="str">
        <x:v>4.1.70.024</x:v>
      </x:c>
      <x:c r="C615" s="57" t="str">
        <x:v>Perfil.Rol.Ligh. Lateral Cinza 5298-6m  {1KG..=1,43ml}</x:v>
      </x:c>
      <x:c r="D615" s="21" t="str">
        <x:v>Cinza</x:v>
      </x:c>
      <x:c r="E615" s="24" t="n">
        <x:v>42.61</x:v>
      </x:c>
      <x:c r="F615" s="34" t="n">
        <x:v>1.43</x:v>
      </x:c>
      <x:c r="G615" s="21" t="str">
        <x:v>descricao</x:v>
      </x:c>
      <x:c r="H615" s="35" t="n">
        <x:f>IFERROR(E615/F615,"")</x:f>
        <x:v>29.797202797202797</x:v>
      </x:c>
      <x:c r="I615" s="17" t="str">
        <x:v>Precificado</x:v>
      </x:c>
    </x:row>
    <x:row r="616">
      <x:c r="A616" s="16" t="n">
        <x:v>616</x:v>
      </x:c>
      <x:c r="B616" s="21" t="str">
        <x:v>4.1.70.162</x:v>
      </x:c>
      <x:c r="C616" s="57" t="str">
        <x:v>Perfil.Rol.Ligh. Lateral Preto 5298-6m  {1KG..=1,43ml}</x:v>
      </x:c>
      <x:c r="D616" s="21" t="str">
        <x:v>Preto</x:v>
      </x:c>
      <x:c r="E616" s="24" t="n">
        <x:v>39.74</x:v>
      </x:c>
      <x:c r="F616" s="34" t="n">
        <x:v>1.43</x:v>
      </x:c>
      <x:c r="G616" s="21" t="str">
        <x:v>descricao</x:v>
      </x:c>
      <x:c r="H616" s="35" t="n">
        <x:f>IFERROR(E616/F616,"")</x:f>
        <x:v>27.790209790209794</x:v>
      </x:c>
      <x:c r="I616" s="17" t="str">
        <x:v>Precificado</x:v>
      </x:c>
    </x:row>
    <x:row r="617">
      <x:c r="A617" s="16" t="n">
        <x:v>617</x:v>
      </x:c>
      <x:c r="B617" s="21" t="str">
        <x:v>PC.000.0144</x:v>
      </x:c>
      <x:c r="C617" s="57" t="str">
        <x:v>Perfil.Rollo. Sust. Box L .Pintar RC4015/ESAF-4080-6m (1kg.=0,89m)  ml}a</x:v>
      </x:c>
      <x:c r="D617" s="21" t="str">
        <x:v>Alumínio cru</x:v>
      </x:c>
      <x:c r="E617" s="24" t="n">
        <x:v>34.74</x:v>
      </x:c>
      <x:c r="F617" s="34" t="n">
        <x:v>0.89</x:v>
      </x:c>
      <x:c r="G617" s="21" t="str">
        <x:v>descricao</x:v>
      </x:c>
      <x:c r="H617" s="35" t="n">
        <x:f>IFERROR(E617/F617,"")</x:f>
        <x:v>39.033707865168545</x:v>
      </x:c>
      <x:c r="I617" s="17" t="str">
        <x:v>Precificado</x:v>
      </x:c>
    </x:row>
    <x:row r="618">
      <x:c r="A618" s="16" t="n">
        <x:v>618</x:v>
      </x:c>
      <x:c r="B618" s="21" t="str">
        <x:v>PC.000.004</x:v>
      </x:c>
      <x:c r="C618" s="57" t="str">
        <x:v>Perfil.Rollo. Sust. Box L Branco RC4015/ESAF-4080-6m (A) (1kg.=0,89m)</x:v>
      </x:c>
      <x:c r="D618" s="21" t="str">
        <x:v>Branco</x:v>
      </x:c>
      <x:c r="E618" s="24" t="n">
        <x:v>40.57</x:v>
      </x:c>
      <x:c r="F618" s="34" t="n">
        <x:v>0.89</x:v>
      </x:c>
      <x:c r="G618" s="21" t="str">
        <x:v>descricao</x:v>
      </x:c>
      <x:c r="H618" s="35" t="n">
        <x:f>IFERROR(E618/F618,"")</x:f>
        <x:v>45.58426966292135</x:v>
      </x:c>
      <x:c r="I618" s="17" t="str">
        <x:v>Precificado</x:v>
      </x:c>
    </x:row>
    <x:row r="619">
      <x:c r="A619" s="16" t="n">
        <x:v>619</x:v>
      </x:c>
      <x:c r="B619" s="21" t="str">
        <x:v>PC.000.003.1</x:v>
      </x:c>
      <x:c r="C619" s="57" t="str">
        <x:v>Perfil.Rollo. Sust. Box L Cinza RC4015/ESAF-4080-6m (1kg.=0,89m)</x:v>
      </x:c>
      <x:c r="D619" s="21" t="str">
        <x:v>Cinza</x:v>
      </x:c>
      <x:c r="E619" s="24" t="n">
        <x:v>42.61</x:v>
      </x:c>
      <x:c r="F619" s="34" t="n">
        <x:v>0.89</x:v>
      </x:c>
      <x:c r="G619" s="21" t="str">
        <x:v>descricao</x:v>
      </x:c>
      <x:c r="H619" s="35" t="n">
        <x:f>IFERROR(E619/F619,"")</x:f>
        <x:v>47.87640449438202</x:v>
      </x:c>
      <x:c r="I619" s="17" t="str">
        <x:v>Precificado</x:v>
      </x:c>
    </x:row>
    <x:row r="620">
      <x:c r="A620" s="16" t="n">
        <x:v>620</x:v>
      </x:c>
      <x:c r="B620" s="21" t="str">
        <x:v>PC.000.0131</x:v>
      </x:c>
      <x:c r="C620" s="57" t="str">
        <x:v>Perfil.Rollo. Sust. Box M .PINTAR RC3027/ESAF-4102-6m (1kg.=1,4m) ml}a</x:v>
      </x:c>
      <x:c r="D620" s="21" t="str">
        <x:v>Alumínio cru</x:v>
      </x:c>
      <x:c r="E620" s="24" t="n">
        <x:v>34.74</x:v>
      </x:c>
      <x:c r="F620" s="34" t="n">
        <x:v>1.4</x:v>
      </x:c>
      <x:c r="G620" s="21" t="str">
        <x:v>descricao</x:v>
      </x:c>
      <x:c r="H620" s="35" t="n">
        <x:f>IFERROR(E620/F620,"")</x:f>
        <x:v>24.814285714285717</x:v>
      </x:c>
      <x:c r="I620" s="17" t="str">
        <x:v>Precificado</x:v>
      </x:c>
    </x:row>
    <x:row r="621">
      <x:c r="A621" s="16" t="n">
        <x:v>621</x:v>
      </x:c>
      <x:c r="B621" s="21" t="str">
        <x:v>PC.000.001</x:v>
      </x:c>
      <x:c r="C621" s="57" t="str">
        <x:v>Perfil.Rollo. Sust. Box M Anodizado RC3027/ESAF-4102-6m (B) (1kg.=1,4m)  q.a.ss cinza</x:v>
      </x:c>
      <x:c r="D621" s="21" t="str">
        <x:v>Cinza</x:v>
      </x:c>
      <x:c r="E621" s="24" t="n">
        <x:v>42.61</x:v>
      </x:c>
      <x:c r="F621" s="34" t="n">
        <x:v>1.4</x:v>
      </x:c>
      <x:c r="G621" s="21" t="str">
        <x:v>descricao</x:v>
      </x:c>
      <x:c r="H621" s="35" t="n">
        <x:f>IFERROR(E621/F621,"")</x:f>
        <x:v>30.435714285714287</x:v>
      </x:c>
      <x:c r="I621" s="17" t="str">
        <x:v>Precificado</x:v>
      </x:c>
    </x:row>
    <x:row r="622">
      <x:c r="A622" s="16" t="n">
        <x:v>622</x:v>
      </x:c>
      <x:c r="B622" s="21" t="str">
        <x:v>PC.000.002</x:v>
      </x:c>
      <x:c r="C622" s="57" t="str">
        <x:v>Perfil.Rollo. Sust. Box M Branco RC3027/ESAF-4102-6m (1kg.=1,4m) (A) PCT6m 1/25</x:v>
      </x:c>
      <x:c r="D622" s="21" t="str">
        <x:v>Branco</x:v>
      </x:c>
      <x:c r="E622" s="24" t="n">
        <x:v>40.57</x:v>
      </x:c>
      <x:c r="F622" s="34" t="n">
        <x:v>1.4</x:v>
      </x:c>
      <x:c r="G622" s="21" t="str">
        <x:v>descricao</x:v>
      </x:c>
      <x:c r="H622" s="35" t="n">
        <x:f>IFERROR(E622/F622,"")</x:f>
        <x:v>28.97857142857143</x:v>
      </x:c>
      <x:c r="I622" s="17" t="str">
        <x:v>Precificado</x:v>
      </x:c>
    </x:row>
    <x:row r="623">
      <x:c r="A623" s="16" t="n">
        <x:v>623</x:v>
      </x:c>
      <x:c r="B623" s="21" t="str">
        <x:v>PC.000.001.1</x:v>
      </x:c>
      <x:c r="C623" s="57" t="str">
        <x:v>Perfil.Rollo. Sust. Box M Cinza RC3027/ESAF-4102-6m (1kg.=1,4m)</x:v>
      </x:c>
      <x:c r="D623" s="21" t="str">
        <x:v>Cinza</x:v>
      </x:c>
      <x:c r="E623" s="24" t="n">
        <x:v>42.61</x:v>
      </x:c>
      <x:c r="F623" s="34" t="n">
        <x:v>1.4</x:v>
      </x:c>
      <x:c r="G623" s="21" t="str">
        <x:v>descricao</x:v>
      </x:c>
      <x:c r="H623" s="35" t="n">
        <x:f>IFERROR(E623/F623,"")</x:f>
        <x:v>30.435714285714287</x:v>
      </x:c>
      <x:c r="I623" s="17" t="str">
        <x:v>Precificado</x:v>
      </x:c>
    </x:row>
    <x:row r="624">
      <x:c r="A624" s="16" t="n">
        <x:v>624</x:v>
      </x:c>
      <x:c r="B624" s="21" t="str">
        <x:v>PC.000.915</x:v>
      </x:c>
      <x:c r="C624" s="57" t="str">
        <x:v>Perfil.Rollo. Sust. Box M Preto RC3027/ESAF-4102-6m  (1kg.=1,4m) PCT6m 07/25</x:v>
      </x:c>
      <x:c r="D624" s="21" t="str">
        <x:v>Preto</x:v>
      </x:c>
      <x:c r="E624" s="24" t="n">
        <x:v>39.74</x:v>
      </x:c>
      <x:c r="F624" s="34" t="n">
        <x:v>1.4</x:v>
      </x:c>
      <x:c r="G624" s="21" t="str">
        <x:v>descricao</x:v>
      </x:c>
      <x:c r="H624" s="35" t="n">
        <x:f>IFERROR(E624/F624,"")</x:f>
        <x:v>28.38571428571429</x:v>
      </x:c>
      <x:c r="I624" s="17" t="str">
        <x:v>Precificado</x:v>
      </x:c>
    </x:row>
    <x:row r="625">
      <x:c r="A625" s="16" t="n">
        <x:v>625</x:v>
      </x:c>
      <x:c r="B625" s="21" t="str">
        <x:v>PC.000.0132</x:v>
      </x:c>
      <x:c r="C625" s="57" t="str">
        <x:v>Perfil.Rollo. Sust. Box S .PINTAR RC2019/6562-6m (1kg.=2,27m) ml}a F0791</x:v>
      </x:c>
      <x:c r="D625" s="21" t="str">
        <x:v>Alumínio cru</x:v>
      </x:c>
      <x:c r="E625" s="24" t="n">
        <x:v>34.74</x:v>
      </x:c>
      <x:c r="F625" s="34" t="n">
        <x:v>2.27</x:v>
      </x:c>
      <x:c r="G625" s="21" t="str">
        <x:v>descricao</x:v>
      </x:c>
      <x:c r="H625" s="35" t="n">
        <x:f>IFERROR(E625/F625,"")</x:f>
        <x:v>15.303964757709252</x:v>
      </x:c>
      <x:c r="I625" s="17" t="str">
        <x:v>Precificado</x:v>
      </x:c>
    </x:row>
    <x:row r="626">
      <x:c r="A626" s="16" t="n">
        <x:v>626</x:v>
      </x:c>
      <x:c r="B626" s="21" t="str">
        <x:v>PC.000.005</x:v>
      </x:c>
      <x:c r="C626" s="57" t="str">
        <x:v>Perfil.Rollo. Sust. Box S Anodizado RC2019/6562-6m (1kg.=2,27m) q.a.ss cinza</x:v>
      </x:c>
      <x:c r="D626" s="21" t="str">
        <x:v>Cinza</x:v>
      </x:c>
      <x:c r="E626" s="24" t="n">
        <x:v>42.61</x:v>
      </x:c>
      <x:c r="F626" s="34" t="n">
        <x:v>2.27</x:v>
      </x:c>
      <x:c r="G626" s="21" t="str">
        <x:v>descricao</x:v>
      </x:c>
      <x:c r="H626" s="35" t="n">
        <x:f>IFERROR(E626/F626,"")</x:f>
        <x:v>18.770925110132158</x:v>
      </x:c>
      <x:c r="I626" s="17" t="str">
        <x:v>Precificado</x:v>
      </x:c>
    </x:row>
    <x:row r="627">
      <x:c r="A627" s="16" t="n">
        <x:v>627</x:v>
      </x:c>
      <x:c r="B627" s="21" t="str">
        <x:v>PC.000.006</x:v>
      </x:c>
      <x:c r="C627" s="57" t="str">
        <x:v>Perfil.Rollo. Sust. Box S Branco RC2019/6562-6m (B) (1kg.=2,27m) ) 01/20</x:v>
      </x:c>
      <x:c r="D627" s="21" t="str">
        <x:v>Branco</x:v>
      </x:c>
      <x:c r="E627" s="24" t="n">
        <x:v>40.57</x:v>
      </x:c>
      <x:c r="F627" s="34" t="n">
        <x:v>2.27</x:v>
      </x:c>
      <x:c r="G627" s="21" t="str">
        <x:v>descricao</x:v>
      </x:c>
      <x:c r="H627" s="35" t="n">
        <x:f>IFERROR(E627/F627,"")</x:f>
        <x:v>17.87224669603524</x:v>
      </x:c>
      <x:c r="I627" s="17" t="str">
        <x:v>Precificado</x:v>
      </x:c>
    </x:row>
    <x:row r="628">
      <x:c r="A628" s="16" t="n">
        <x:v>628</x:v>
      </x:c>
      <x:c r="B628" s="21" t="str">
        <x:v>PC.000.005.1</x:v>
      </x:c>
      <x:c r="C628" s="57" t="str">
        <x:v>Perfil.Rollo. Sust. Box S Cinza RC2019/6562-6m (1kg.=2,27m)</x:v>
      </x:c>
      <x:c r="D628" s="21" t="str">
        <x:v>Cinza</x:v>
      </x:c>
      <x:c r="E628" s="24" t="n">
        <x:v>42.61</x:v>
      </x:c>
      <x:c r="F628" s="34" t="n">
        <x:v>2.27</x:v>
      </x:c>
      <x:c r="G628" s="21" t="str">
        <x:v>descricao</x:v>
      </x:c>
      <x:c r="H628" s="35" t="n">
        <x:f>IFERROR(E628/F628,"")</x:f>
        <x:v>18.770925110132158</x:v>
      </x:c>
      <x:c r="I628" s="17" t="str">
        <x:v>Precificado</x:v>
      </x:c>
    </x:row>
    <x:row r="629">
      <x:c r="A629" s="16" t="n">
        <x:v>629</x:v>
      </x:c>
      <x:c r="B629" s="21" t="str">
        <x:v>PC.000.916</x:v>
      </x:c>
      <x:c r="C629" s="57" t="str">
        <x:v>Perfil.Rollo. Sust. Box S Preto RC2019/6562-6m (1kg.=2,27m)</x:v>
      </x:c>
      <x:c r="D629" s="21" t="str">
        <x:v>Preto</x:v>
      </x:c>
      <x:c r="E629" s="24" t="n">
        <x:v>39.74</x:v>
      </x:c>
      <x:c r="F629" s="34" t="n">
        <x:v>2.27</x:v>
      </x:c>
      <x:c r="G629" s="21" t="str">
        <x:v>descricao</x:v>
      </x:c>
      <x:c r="H629" s="35" t="n">
        <x:f>IFERROR(E629/F629,"")</x:f>
        <x:v>17.506607929515418</x:v>
      </x:c>
      <x:c r="I629" s="17" t="str">
        <x:v>Precificado</x:v>
      </x:c>
    </x:row>
    <x:row r="630">
      <x:c r="A630" s="16" t="n">
        <x:v>630</x:v>
      </x:c>
      <x:c r="B630" s="21" t="str">
        <x:v>001.008.002.000.41.1</x:v>
      </x:c>
      <x:c r="C630" s="57" t="str">
        <x:v>Perfil.SHW. Base Plus Redonda (5437/REI732/ES-3931) Abs2.0 Bege bg (A) {1Kg.=4,062} PCT60M</x:v>
      </x:c>
      <x:c r="D630" s="21" t="str">
        <x:v>Bege</x:v>
      </x:c>
      <x:c r="E630" s="24" t="n">
        <x:v>44.39</x:v>
      </x:c>
      <x:c r="F630" s="34" t="n">
        <x:v>4.062</x:v>
      </x:c>
      <x:c r="G630" s="21" t="str">
        <x:v>descricao</x:v>
      </x:c>
      <x:c r="H630" s="35" t="n">
        <x:f>IFERROR(E630/F630,"")</x:f>
        <x:v>10.928114229443624</x:v>
      </x:c>
      <x:c r="I630" s="17" t="str">
        <x:v>Precificado</x:v>
      </x:c>
    </x:row>
    <x:row r="631">
      <x:c r="A631" s="16" t="n">
        <x:v>631</x:v>
      </x:c>
      <x:c r="B631" s="21" t="str">
        <x:v>001.008.002.000.40.7</x:v>
      </x:c>
      <x:c r="C631" s="57" t="str">
        <x:v>Perfil.SHW. Base Plus Redonda (5437/REI732/ES-3931) Abs2.0 Bronze bz {1Kg.=4,062m} PCT30M</x:v>
      </x:c>
      <x:c r="D631" s="21" t="str">
        <x:v>Bronze</x:v>
      </x:c>
      <x:c r="E631" s="24" t="n">
        <x:v>42.94</x:v>
      </x:c>
      <x:c r="F631" s="34" t="n">
        <x:v>4.062</x:v>
      </x:c>
      <x:c r="G631" s="21" t="str">
        <x:v>descricao</x:v>
      </x:c>
      <x:c r="H631" s="35" t="n">
        <x:f>IFERROR(E631/F631,"")</x:f>
        <x:v>10.571147218119151</x:v>
      </x:c>
      <x:c r="I631" s="17" t="str">
        <x:v>Precificado</x:v>
      </x:c>
    </x:row>
    <x:row r="632">
      <x:c r="A632" s="16" t="n">
        <x:v>632</x:v>
      </x:c>
      <x:c r="B632" s="21" t="str">
        <x:v>001.008.002.000.40.2</x:v>
      </x:c>
      <x:c r="C632" s="57" t="str">
        <x:v>Perfil.SHW. Base Plus Redonda (5437/REI732/ES-3931) PINTAR (1kg.=3,61011ml}a</x:v>
      </x:c>
      <x:c r="D632" s="21" t="str">
        <x:v>Alumínio cru</x:v>
      </x:c>
      <x:c r="E632" s="24" t="n">
        <x:v>34.74</x:v>
      </x:c>
      <x:c r="F632" s="34" t="n">
        <x:v>3.61011</x:v>
      </x:c>
      <x:c r="G632" s="21" t="str">
        <x:v>descricao</x:v>
      </x:c>
      <x:c r="H632" s="35" t="n">
        <x:f>IFERROR(E632/F632,"")</x:f>
        <x:v>9.622975477201527</x:v>
      </x:c>
      <x:c r="I632" s="17" t="str">
        <x:v>Precificado</x:v>
      </x:c>
    </x:row>
    <x:row r="633">
      <x:c r="A633" s="16" t="n">
        <x:v>633</x:v>
      </x:c>
      <x:c r="B633" s="21" t="str">
        <x:v>001.008.002.000.40.6</x:v>
      </x:c>
      <x:c r="C633" s="57" t="str">
        <x:v>Perfil.SHW. Base Plus Redonda (5437/REI732/ESAF-3931) Abs2.0 Branco bco {1Kg.=3,61011ml} (A) PCT60M</x:v>
      </x:c>
      <x:c r="D633" s="21" t="str">
        <x:v>Branco</x:v>
      </x:c>
      <x:c r="E633" s="24" t="n">
        <x:v>40.57</x:v>
      </x:c>
      <x:c r="F633" s="34" t="n">
        <x:v>3.61011</x:v>
      </x:c>
      <x:c r="G633" s="21" t="str">
        <x:v>descricao</x:v>
      </x:c>
      <x:c r="H633" s="35" t="n">
        <x:f>IFERROR(E633/F633,"")</x:f>
        <x:v>11.237884718194183</x:v>
      </x:c>
      <x:c r="I633" s="17" t="str">
        <x:v>Precificado</x:v>
      </x:c>
    </x:row>
    <x:row r="634">
      <x:c r="A634" s="16" t="n">
        <x:v>634</x:v>
      </x:c>
      <x:c r="B634" s="21" t="str">
        <x:v>001.008.002.000.40.10</x:v>
      </x:c>
      <x:c r="C634" s="57" t="str">
        <x:v>Perfil.SHW. Base Plus Redonda (5437/REI732/ESAF-3931) Abs2.0 Cinza cz 10/24 (B) {1Kg.=3,61011ml) cm3an PCT60M  ss</x:v>
      </x:c>
      <x:c r="D634" s="21" t="str">
        <x:v>Cinza</x:v>
      </x:c>
      <x:c r="E634" s="24" t="n">
        <x:v>42.61</x:v>
      </x:c>
      <x:c r="F634" s="34" t="n">
        <x:v>3.61011</x:v>
      </x:c>
      <x:c r="G634" s="21" t="str">
        <x:v>descricao</x:v>
      </x:c>
      <x:c r="H634" s="35" t="n">
        <x:f>IFERROR(E634/F634,"")</x:f>
        <x:v>11.802964452606707</x:v>
      </x:c>
      <x:c r="I634" s="17" t="str">
        <x:v>Precificado</x:v>
      </x:c>
    </x:row>
    <x:row r="635">
      <x:c r="A635" s="16" t="n">
        <x:v>635</x:v>
      </x:c>
      <x:c r="B635" s="21" t="str">
        <x:v>001.008.002.000.40.8</x:v>
      </x:c>
      <x:c r="C635" s="57" t="str">
        <x:v>Perfil.SHW. Base Plus Redonda (5437/REI732/ESAF-3931) Abs2.0 Preto pt (B) {1KG.=3,61011ml} PCT30M ss</x:v>
      </x:c>
      <x:c r="D635" s="21" t="str">
        <x:v>Preto</x:v>
      </x:c>
      <x:c r="E635" s="24" t="n">
        <x:v>39.74</x:v>
      </x:c>
      <x:c r="F635" s="34" t="n">
        <x:v>3.61011</x:v>
      </x:c>
      <x:c r="G635" s="21" t="str">
        <x:v>descricao</x:v>
      </x:c>
      <x:c r="H635" s="35" t="n">
        <x:f>IFERROR(E635/F635,"")</x:f>
        <x:v>11.007974826251832</x:v>
      </x:c>
      <x:c r="I635" s="17" t="str">
        <x:v>Precificado</x:v>
      </x:c>
    </x:row>
    <x:row r="636">
      <x:c r="A636" s="16" t="n">
        <x:v>636</x:v>
      </x:c>
      <x:c r="B636" s="21" t="str">
        <x:v>001.008.002.233.26</x:v>
      </x:c>
      <x:c r="C636" s="57" t="str">
        <x:v>Perfil.SHW. Base Plus Retangular (5439/REI731/ES-3933) Abs2.0 Bege bg (B) {1KG.=3,637ml}</x:v>
      </x:c>
      <x:c r="D636" s="21" t="str">
        <x:v>Bege</x:v>
      </x:c>
      <x:c r="E636" s="24" t="n">
        <x:v>44.39</x:v>
      </x:c>
      <x:c r="F636" s="34" t="n">
        <x:v>3.637</x:v>
      </x:c>
      <x:c r="G636" s="21" t="str">
        <x:v>descricao</x:v>
      </x:c>
      <x:c r="H636" s="35" t="n">
        <x:f>IFERROR(E636/F636,"")</x:f>
        <x:v>12.205114105031619</x:v>
      </x:c>
      <x:c r="I636" s="17" t="str">
        <x:v>Precificado</x:v>
      </x:c>
    </x:row>
    <x:row r="637">
      <x:c r="A637" s="16" t="n">
        <x:v>637</x:v>
      </x:c>
      <x:c r="B637" s="21" t="str">
        <x:v>001.008.002.233.25</x:v>
      </x:c>
      <x:c r="C637" s="57" t="str">
        <x:v>Perfil.SHW. Base Plus Retangular (5439/REI731/ES-3933) Abs2.0 Bronze bz {1KG.=3,637ml}</x:v>
      </x:c>
      <x:c r="D637" s="21" t="str">
        <x:v>Bronze</x:v>
      </x:c>
      <x:c r="E637" s="24" t="n">
        <x:v>42.94</x:v>
      </x:c>
      <x:c r="F637" s="34" t="n">
        <x:v>3.637</x:v>
      </x:c>
      <x:c r="G637" s="21" t="str">
        <x:v>descricao</x:v>
      </x:c>
      <x:c r="H637" s="35" t="n">
        <x:f>IFERROR(E637/F637,"")</x:f>
        <x:v>11.806433874072036</x:v>
      </x:c>
      <x:c r="I637" s="17" t="str">
        <x:v>Precificado</x:v>
      </x:c>
    </x:row>
    <x:row r="638">
      <x:c r="A638" s="16" t="n">
        <x:v>638</x:v>
      </x:c>
      <x:c r="B638" s="21" t="str">
        <x:v>001.008.002.233.30</x:v>
      </x:c>
      <x:c r="C638" s="57" t="str">
        <x:v>Perfil.SHW. Base Plus Retangular (5439/REI731/ES-3933) Abs2.0 Grafite gr{1KG.=3,637ml) ss</x:v>
      </x:c>
      <x:c r="D638" s="21" t="str">
        <x:v>Grafite</x:v>
      </x:c>
      <x:c r="E638" s="24" t="n">
        <x:v>41.980000000000004</x:v>
      </x:c>
      <x:c r="F638" s="34" t="n">
        <x:v>3.637</x:v>
      </x:c>
      <x:c r="G638" s="21" t="str">
        <x:v>descricao</x:v>
      </x:c>
      <x:c r="H638" s="35" t="n">
        <x:f>IFERROR(E638/F638,"")</x:f>
        <x:v>11.542480065988453</x:v>
      </x:c>
      <x:c r="I638" s="17" t="str">
        <x:v>Precificado</x:v>
      </x:c>
    </x:row>
    <x:row r="639">
      <x:c r="A639" s="16" t="n">
        <x:v>639</x:v>
      </x:c>
      <x:c r="B639" s="21" t="str">
        <x:v>001.008.002.000.40.1</x:v>
      </x:c>
      <x:c r="C639" s="57" t="str">
        <x:v>Perfil.SHW. Base Plus Retangular (5439/REI731/ES-3933) PINTAR 6m {1kg.=3,547ml}a _)F0791 F,,</x:v>
      </x:c>
      <x:c r="D639" s="21" t="str">
        <x:v>Alumínio cru</x:v>
      </x:c>
      <x:c r="E639" s="24" t="n">
        <x:v>34.74</x:v>
      </x:c>
      <x:c r="F639" s="34" t="n">
        <x:v>3.547</x:v>
      </x:c>
      <x:c r="G639" s="21" t="str">
        <x:v>descricao</x:v>
      </x:c>
      <x:c r="H639" s="35" t="n">
        <x:f>IFERROR(E639/F639,"")</x:f>
        <x:v>9.794192275162109</x:v>
      </x:c>
      <x:c r="I639" s="17" t="str">
        <x:v>Precificado</x:v>
      </x:c>
    </x:row>
    <x:row r="640">
      <x:c r="A640" s="16" t="n">
        <x:v>640</x:v>
      </x:c>
      <x:c r="B640" s="21" t="str">
        <x:v>001.008.002.233.29</x:v>
      </x:c>
      <x:c r="C640" s="57" t="str">
        <x:v>Perfil.SHW. Base Plus Retangular (5439/REI731/ESAF-3933) Abs2.0 Anodizado an (B) {1KG.=3,268ml) q.a.ss cinza</x:v>
      </x:c>
      <x:c r="D640" s="21" t="str">
        <x:v>Cinza</x:v>
      </x:c>
      <x:c r="E640" s="24" t="n">
        <x:v>42.61</x:v>
      </x:c>
      <x:c r="F640" s="34" t="n">
        <x:v>3.268</x:v>
      </x:c>
      <x:c r="G640" s="21" t="str">
        <x:v>descricao</x:v>
      </x:c>
      <x:c r="H640" s="35" t="n">
        <x:f>IFERROR(E640/F640,"")</x:f>
        <x:v>13.038555691554468</x:v>
      </x:c>
      <x:c r="I640" s="17" t="str">
        <x:v>Precificado</x:v>
      </x:c>
    </x:row>
    <x:row r="641">
      <x:c r="A641" s="16" t="n">
        <x:v>641</x:v>
      </x:c>
      <x:c r="B641" s="21" t="str">
        <x:v>001.008.002.233.28</x:v>
      </x:c>
      <x:c r="C641" s="57" t="str">
        <x:v>Perfil.SHW. Base Plus Retangular (5439/REI731/ESAF-3933) Abs2.0 Branco bco (A) {1KG.=3,268ml}</x:v>
      </x:c>
      <x:c r="D641" s="21" t="str">
        <x:v>Branco</x:v>
      </x:c>
      <x:c r="E641" s="24" t="n">
        <x:v>40.57</x:v>
      </x:c>
      <x:c r="F641" s="34" t="n">
        <x:v>3.268</x:v>
      </x:c>
      <x:c r="G641" s="21" t="str">
        <x:v>descricao</x:v>
      </x:c>
      <x:c r="H641" s="35" t="n">
        <x:f>IFERROR(E641/F641,"")</x:f>
        <x:v>12.414320685434518</x:v>
      </x:c>
      <x:c r="I641" s="17" t="str">
        <x:v>Precificado</x:v>
      </x:c>
    </x:row>
    <x:row r="642">
      <x:c r="A642" s="16" t="n">
        <x:v>642</x:v>
      </x:c>
      <x:c r="B642" s="21" t="str">
        <x:v>001.008.002.233.29.1</x:v>
      </x:c>
      <x:c r="C642" s="57" t="str">
        <x:v>Perfil.SHW. Base Plus Retangular (5439/REI731/ESAF-3933) Abs2.0 Cinza cz 10/24 {1KG.=3,268ml)</x:v>
      </x:c>
      <x:c r="D642" s="21" t="str">
        <x:v>Cinza</x:v>
      </x:c>
      <x:c r="E642" s="24" t="n">
        <x:v>42.61</x:v>
      </x:c>
      <x:c r="F642" s="34" t="n">
        <x:v>3.268</x:v>
      </x:c>
      <x:c r="G642" s="21" t="str">
        <x:v>descricao</x:v>
      </x:c>
      <x:c r="H642" s="35" t="n">
        <x:f>IFERROR(E642/F642,"")</x:f>
        <x:v>13.038555691554468</x:v>
      </x:c>
      <x:c r="I642" s="17" t="str">
        <x:v>Precificado</x:v>
      </x:c>
    </x:row>
    <x:row r="643">
      <x:c r="A643" s="16" t="n">
        <x:v>643</x:v>
      </x:c>
      <x:c r="B643" s="21" t="str">
        <x:v>001.008.002.233.27</x:v>
      </x:c>
      <x:c r="C643" s="57" t="str">
        <x:v>Perfil.SHW. Base Plus Retangular (5439/REI731/ESAF-3933) Abs2.0 Preto pt (B) {1KG.=3,268ml}(EE)(</x:v>
      </x:c>
      <x:c r="D643" s="21" t="str">
        <x:v>Preto</x:v>
      </x:c>
      <x:c r="E643" s="24" t="n">
        <x:v>39.74</x:v>
      </x:c>
      <x:c r="F643" s="34" t="n">
        <x:v>3.268</x:v>
      </x:c>
      <x:c r="G643" s="21" t="str">
        <x:v>descricao</x:v>
      </x:c>
      <x:c r="H643" s="35" t="n">
        <x:f>IFERROR(E643/F643,"")</x:f>
        <x:v>12.160342717258263</x:v>
      </x:c>
      <x:c r="I643" s="17" t="str">
        <x:v>Precificado</x:v>
      </x:c>
    </x:row>
    <x:row r="644">
      <x:c r="A644" s="16" t="n">
        <x:v>644</x:v>
      </x:c>
      <x:c r="B644" s="21" t="str">
        <x:v>PC.000.491</x:v>
      </x:c>
      <x:c r="C644" s="57" t="str">
        <x:v>Perfil.SHW. Base Redonda Anodizado DRC-07-5,80m (1kg.=2,296m)  (Q.A.F.L)</x:v>
      </x:c>
      <x:c r="D644" s="21" t="str">
        <x:v>Alumínio cru</x:v>
      </x:c>
      <x:c r="E644" s="24" t="n">
        <x:v>34.74</x:v>
      </x:c>
      <x:c r="F644" s="34" t="n">
        <x:v>2.296</x:v>
      </x:c>
      <x:c r="G644" s="21" t="str">
        <x:v>descricao</x:v>
      </x:c>
      <x:c r="H644" s="35" t="n">
        <x:f>IFERROR(E644/F644,"")</x:f>
        <x:v>15.130662020905925</x:v>
      </x:c>
      <x:c r="I644" s="17" t="str">
        <x:v>Precificado</x:v>
      </x:c>
    </x:row>
    <x:row r="645">
      <x:c r="A645" s="16" t="n">
        <x:v>645</x:v>
      </x:c>
      <x:c r="B645" s="21" t="str">
        <x:v>PC.000.039</x:v>
      </x:c>
      <x:c r="C645" s="57" t="str">
        <x:v>Perfil.SHW. Base Redonda DRC-04 Branco (1kg.=7,21m) 5,8m ESUL Q.A.F.L</x:v>
      </x:c>
      <x:c r="D645" s="21" t="str">
        <x:v>Branco</x:v>
      </x:c>
      <x:c r="E645" s="24" t="n">
        <x:v>40.57</x:v>
      </x:c>
      <x:c r="F645" s="34" t="n">
        <x:v>7.21</x:v>
      </x:c>
      <x:c r="G645" s="21" t="str">
        <x:v>descricao</x:v>
      </x:c>
      <x:c r="H645" s="35" t="n">
        <x:f>IFERROR(E645/F645,"")</x:f>
        <x:v>5.626907073509015</x:v>
      </x:c>
      <x:c r="I645" s="17" t="str">
        <x:v>Precificado</x:v>
      </x:c>
    </x:row>
    <x:row r="646">
      <x:c r="A646" s="16" t="n">
        <x:v>646</x:v>
      </x:c>
      <x:c r="B646" s="21" t="str">
        <x:v>PC.000.037</x:v>
      </x:c>
      <x:c r="C646" s="57" t="str">
        <x:v>Perfil.SHW. Base Redonda DRC-04 Bronze (1kg.=7,21m) PCT139,2(5,8m)01/20 cdcd Q.A.F.Ld</x:v>
      </x:c>
      <x:c r="D646" s="21" t="str">
        <x:v>Bronze</x:v>
      </x:c>
      <x:c r="E646" s="24" t="n">
        <x:v>42.94</x:v>
      </x:c>
      <x:c r="F646" s="34" t="n">
        <x:v>7.21</x:v>
      </x:c>
      <x:c r="G646" s="21" t="str">
        <x:v>descricao</x:v>
      </x:c>
      <x:c r="H646" s="35" t="n">
        <x:f>IFERROR(E646/F646,"")</x:f>
        <x:v>5.955617198335645</x:v>
      </x:c>
      <x:c r="I646" s="17" t="str">
        <x:v>Precificado</x:v>
      </x:c>
    </x:row>
    <x:row r="647">
      <x:c r="A647" s="16" t="n">
        <x:v>647</x:v>
      </x:c>
      <x:c r="B647" s="21" t="str">
        <x:v>001.008.002.233.33</x:v>
      </x:c>
      <x:c r="C647" s="57" t="str">
        <x:v>Perfil.SHW. Base Standart Triangulo (Alpex-2303) Abs2.0  Bronze bz {1KG.=5,668ml}plp2xa</x:v>
      </x:c>
      <x:c r="D647" s="21" t="str">
        <x:v>Bronze</x:v>
      </x:c>
      <x:c r="E647" s="24" t="n">
        <x:v>42.94</x:v>
      </x:c>
      <x:c r="F647" s="34" t="n">
        <x:v>5.668</x:v>
      </x:c>
      <x:c r="G647" s="21" t="str">
        <x:v>descricao</x:v>
      </x:c>
      <x:c r="H647" s="35" t="n">
        <x:f>IFERROR(E647/F647,"")</x:f>
        <x:v>7.575864502470006</x:v>
      </x:c>
      <x:c r="I647" s="17" t="str">
        <x:v>Precificado</x:v>
      </x:c>
    </x:row>
    <x:row r="648">
      <x:c r="A648" s="16" t="n">
        <x:v>648</x:v>
      </x:c>
      <x:c r="B648" s="21" t="str">
        <x:v>001.008.002.233.34</x:v>
      </x:c>
      <x:c r="C648" s="57" t="str">
        <x:v>Perfil.SHW. Base Standart Triangulo (Alpex-2303) Abs2.0 Anodizado an (B) {1KG.=5,668ml} q.a.ss cinza</x:v>
      </x:c>
      <x:c r="D648" s="21" t="str">
        <x:v>Cinza</x:v>
      </x:c>
      <x:c r="E648" s="24" t="n">
        <x:v>42.61</x:v>
      </x:c>
      <x:c r="F648" s="34" t="n">
        <x:v>5.668</x:v>
      </x:c>
      <x:c r="G648" s="21" t="str">
        <x:v>descricao</x:v>
      </x:c>
      <x:c r="H648" s="35" t="n">
        <x:f>IFERROR(E648/F648,"")</x:f>
        <x:v>7.517642907551164</x:v>
      </x:c>
      <x:c r="I648" s="17" t="str">
        <x:v>Precificado</x:v>
      </x:c>
    </x:row>
    <x:row r="649">
      <x:c r="A649" s="16" t="n">
        <x:v>649</x:v>
      </x:c>
      <x:c r="B649" s="21" t="str">
        <x:v>001.008.002.233.31</x:v>
      </x:c>
      <x:c r="C649" s="57" t="str">
        <x:v>Perfil.SHW. Base Standart Triangulo (Alpex-2303) Abs2.0 Bege (B) {1KG.=5,668ml}plp2xa</x:v>
      </x:c>
      <x:c r="D649" s="21" t="str">
        <x:v>Bege</x:v>
      </x:c>
      <x:c r="E649" s="24" t="n">
        <x:v>44.39</x:v>
      </x:c>
      <x:c r="F649" s="34" t="n">
        <x:v>5.668</x:v>
      </x:c>
      <x:c r="G649" s="21" t="str">
        <x:v>descricao</x:v>
      </x:c>
      <x:c r="H649" s="35" t="n">
        <x:f>IFERROR(E649/F649,"")</x:f>
        <x:v>7.831686661961891</x:v>
      </x:c>
      <x:c r="I649" s="17" t="str">
        <x:v>Precificado</x:v>
      </x:c>
    </x:row>
    <x:row r="650">
      <x:c r="A650" s="16" t="n">
        <x:v>650</x:v>
      </x:c>
      <x:c r="B650" s="21" t="str">
        <x:v>001.008.002.233.32</x:v>
      </x:c>
      <x:c r="C650" s="57" t="str">
        <x:v>Perfil.SHW. Base Standart Triangulo (Alpex-2303) Abs2.0 Branco bco (B) {1KG.=5,668ml}</x:v>
      </x:c>
      <x:c r="D650" s="21" t="str">
        <x:v>Branco</x:v>
      </x:c>
      <x:c r="E650" s="24" t="n">
        <x:v>40.57</x:v>
      </x:c>
      <x:c r="F650" s="34" t="n">
        <x:v>5.668</x:v>
      </x:c>
      <x:c r="G650" s="21" t="str">
        <x:v>descricao</x:v>
      </x:c>
      <x:c r="H650" s="35" t="n">
        <x:f>IFERROR(E650/F650,"")</x:f>
        <x:v>7.15772759350741</x:v>
      </x:c>
      <x:c r="I650" s="17" t="str">
        <x:v>Precificado</x:v>
      </x:c>
    </x:row>
    <x:row r="651">
      <x:c r="A651" s="16" t="n">
        <x:v>651</x:v>
      </x:c>
      <x:c r="B651" s="21" t="str">
        <x:v>001.008.002.233.38</x:v>
      </x:c>
      <x:c r="C651" s="57" t="str">
        <x:v>Perfil.SHW. Base Standart Triangulo (Alpex-2303) Abs2.0 Cinza12/24 {1KG.=5,668ml}</x:v>
      </x:c>
      <x:c r="D651" s="21" t="str">
        <x:v>Alumínio cru</x:v>
      </x:c>
      <x:c r="E651" s="24" t="n">
        <x:v>34.74</x:v>
      </x:c>
      <x:c r="F651" s="34" t="n">
        <x:v>5.668</x:v>
      </x:c>
      <x:c r="G651" s="21" t="str">
        <x:v>descricao</x:v>
      </x:c>
      <x:c r="H651" s="35" t="n">
        <x:f>IFERROR(E651/F651,"")</x:f>
        <x:v>6.129146083274524</x:v>
      </x:c>
      <x:c r="I651" s="17" t="str">
        <x:v>Precificado</x:v>
      </x:c>
    </x:row>
    <x:row r="652">
      <x:c r="A652" s="16" t="n">
        <x:v>652</x:v>
      </x:c>
      <x:c r="B652" s="21" t="str">
        <x:v>001.008.002.233.36</x:v>
      </x:c>
      <x:c r="C652" s="57" t="str">
        <x:v>Perfil.SHW. Base Standart Triangulo (Alpex-2303) Abs2.0 Grafite gr {1KG.=5,668ml}plp2xa</x:v>
      </x:c>
      <x:c r="D652" s="21" t="str">
        <x:v>Grafite</x:v>
      </x:c>
      <x:c r="E652" s="24" t="n">
        <x:v>41.980000000000004</x:v>
      </x:c>
      <x:c r="F652" s="34" t="n">
        <x:v>5.668</x:v>
      </x:c>
      <x:c r="G652" s="21" t="str">
        <x:v>descricao</x:v>
      </x:c>
      <x:c r="H652" s="35" t="n">
        <x:f>IFERROR(E652/F652,"")</x:f>
        <x:v>7.406492589978829</x:v>
      </x:c>
      <x:c r="I652" s="17" t="str">
        <x:v>Precificado</x:v>
      </x:c>
    </x:row>
    <x:row r="653">
      <x:c r="A653" s="16" t="n">
        <x:v>653</x:v>
      </x:c>
      <x:c r="B653" s="21" t="str">
        <x:v>001.008.002.233.35</x:v>
      </x:c>
      <x:c r="C653" s="57" t="str">
        <x:v>Perfil.SHW. Base Standart Triangulo (Alpex-2303) Abs2.0 Preto pt {1KG.=5,668ml}</x:v>
      </x:c>
      <x:c r="D653" s="21" t="str">
        <x:v>Preto</x:v>
      </x:c>
      <x:c r="E653" s="24" t="n">
        <x:v>39.74</x:v>
      </x:c>
      <x:c r="F653" s="34" t="n">
        <x:v>5.668</x:v>
      </x:c>
      <x:c r="G653" s="21" t="str">
        <x:v>descricao</x:v>
      </x:c>
      <x:c r="H653" s="35" t="n">
        <x:f>IFERROR(E653/F653,"")</x:f>
        <x:v>7.011291460832745</x:v>
      </x:c>
      <x:c r="I653" s="17" t="str">
        <x:v>Precificado</x:v>
      </x:c>
    </x:row>
    <x:row r="654">
      <x:c r="A654" s="16" t="n">
        <x:v>654</x:v>
      </x:c>
      <x:c r="B654" s="21" t="str">
        <x:v>001.008.002.233.4</x:v>
      </x:c>
      <x:c r="C654" s="57" t="str">
        <x:v>Perfil.SHW. Base Standart Triangulo (Alpex-2303) M.TEXTU. Preto{1KG.=5,668ml} PCT6(q.a.f.l unx )</x:v>
      </x:c>
      <x:c r="D654" s="21" t="str">
        <x:v>Preto</x:v>
      </x:c>
      <x:c r="E654" s="24" t="n">
        <x:v>39.74</x:v>
      </x:c>
      <x:c r="F654" s="34" t="n">
        <x:v>5.668</x:v>
      </x:c>
      <x:c r="G654" s="21" t="str">
        <x:v>descricao</x:v>
      </x:c>
      <x:c r="H654" s="35" t="n">
        <x:f>IFERROR(E654/F654,"")</x:f>
        <x:v>7.011291460832745</x:v>
      </x:c>
      <x:c r="I654" s="17" t="str">
        <x:v>Precificado</x:v>
      </x:c>
    </x:row>
    <x:row r="655">
      <x:c r="A655" s="16" t="n">
        <x:v>655</x:v>
      </x:c>
      <x:c r="B655" s="21" t="str">
        <x:v>001.008.002.000.40</x:v>
      </x:c>
      <x:c r="C655" s="57" t="str">
        <x:v>Perfil.SHW. Base Standart Triangulo (Alpex-2303) PINTAR {1kg.=5,456960ml}a_ F0791 F,,plp2xa</x:v>
      </x:c>
      <x:c r="D655" s="21" t="str">
        <x:v>Alumínio cru</x:v>
      </x:c>
      <x:c r="E655" s="24" t="n">
        <x:v>34.74</x:v>
      </x:c>
      <x:c r="F655" s="34" t="n">
        <x:v>5.45696</x:v>
      </x:c>
      <x:c r="G655" s="21" t="str">
        <x:v>descricao</x:v>
      </x:c>
      <x:c r="H655" s="35" t="n">
        <x:f>IFERROR(E655/F655,"")</x:f>
        <x:v>6.366181903477395</x:v>
      </x:c>
      <x:c r="I655" s="17" t="str">
        <x:v>Precificado</x:v>
      </x:c>
    </x:row>
    <x:row r="656">
      <x:c r="A656" s="16" t="n">
        <x:v>656</x:v>
      </x:c>
      <x:c r="B656" s="21" t="str">
        <x:v>PC.000.031</x:v>
      </x:c>
      <x:c r="C656" s="57" t="str">
        <x:v>Perfil.SHW. Base Triangular DRC-05-5,80m Bronze (1kg.=2,65m)  Q.A.F.L.D...</x:v>
      </x:c>
      <x:c r="D656" s="21" t="str">
        <x:v>Bronze</x:v>
      </x:c>
      <x:c r="E656" s="24" t="n">
        <x:v>42.94</x:v>
      </x:c>
      <x:c r="F656" s="34" t="n">
        <x:v>2.65</x:v>
      </x:c>
      <x:c r="G656" s="21" t="str">
        <x:v>descricao</x:v>
      </x:c>
      <x:c r="H656" s="35" t="n">
        <x:f>IFERROR(E656/F656,"")</x:f>
        <x:v>16.20377358490566</x:v>
      </x:c>
      <x:c r="I656" s="17" t="str">
        <x:v>Precificado</x:v>
      </x:c>
    </x:row>
    <x:row r="657">
      <x:c r="A657" s="16" t="n">
        <x:v>657</x:v>
      </x:c>
      <x:c r="B657" s="21" t="str">
        <x:v>001.008.002.060.35</x:v>
      </x:c>
      <x:c r="C657" s="57" t="str">
        <x:v>Perfil.SHW. Nivelador (5294 REI933) Bronze bz {1kg.=1,61ml}PCT60M (Q.A.F.L UNX)F0234</x:v>
      </x:c>
      <x:c r="D657" s="21" t="str">
        <x:v>Bronze</x:v>
      </x:c>
      <x:c r="E657" s="24" t="n">
        <x:v>42.94</x:v>
      </x:c>
      <x:c r="F657" s="34" t="n">
        <x:v>1.61</x:v>
      </x:c>
      <x:c r="G657" s="21" t="str">
        <x:v>descricao</x:v>
      </x:c>
      <x:c r="H657" s="35" t="n">
        <x:f>IFERROR(E657/F657,"")</x:f>
        <x:v>26.670807453416145</x:v>
      </x:c>
      <x:c r="I657" s="17" t="str">
        <x:v>Precificado</x:v>
      </x:c>
    </x:row>
    <x:row r="658">
      <x:c r="A658" s="16" t="n">
        <x:v>658</x:v>
      </x:c>
      <x:c r="B658" s="21" t="str">
        <x:v>001.008.002.001.47</x:v>
      </x:c>
      <x:c r="C658" s="57" t="str">
        <x:v>Perfil.SHW. Nivelador (5294 REI933) Cinza cz {1kg.=1,61ml} PCT60M (Q.A.F.L UNX)F0234</x:v>
      </x:c>
      <x:c r="D658" s="21" t="str">
        <x:v>Cinza</x:v>
      </x:c>
      <x:c r="E658" s="24" t="n">
        <x:v>42.61</x:v>
      </x:c>
      <x:c r="F658" s="34" t="n">
        <x:v>1.61</x:v>
      </x:c>
      <x:c r="G658" s="21" t="str">
        <x:v>descricao</x:v>
      </x:c>
      <x:c r="H658" s="35" t="n">
        <x:f>IFERROR(E658/F658,"")</x:f>
        <x:v>26.465838509316768</x:v>
      </x:c>
      <x:c r="I658" s="17" t="str">
        <x:v>Precificado</x:v>
      </x:c>
    </x:row>
    <x:row r="659">
      <x:c r="A659" s="16" t="n">
        <x:v>659</x:v>
      </x:c>
      <x:c r="B659" s="21" t="str">
        <x:v>001.008.168.000.11</x:v>
      </x:c>
      <x:c r="C659" s="57" t="str">
        <x:v>Perfil.SHW. Nivelador Deslizante/Movel 4705-6m .PINTAR (1kg.=2,52ml}a</x:v>
      </x:c>
      <x:c r="D659" s="21" t="str">
        <x:v>Alumínio cru</x:v>
      </x:c>
      <x:c r="E659" s="24" t="n">
        <x:v>34.74</x:v>
      </x:c>
      <x:c r="F659" s="34" t="n">
        <x:v>2.52</x:v>
      </x:c>
      <x:c r="G659" s="21" t="str">
        <x:v>descricao</x:v>
      </x:c>
      <x:c r="H659" s="35" t="n">
        <x:f>IFERROR(E659/F659,"")</x:f>
        <x:v>13.785714285714286</x:v>
      </x:c>
      <x:c r="I659" s="17" t="str">
        <x:v>Precificado</x:v>
      </x:c>
    </x:row>
    <x:row r="660">
      <x:c r="A660" s="16" t="n">
        <x:v>660</x:v>
      </x:c>
      <x:c r="B660" s="21" t="str">
        <x:v>001.008.168.000.13</x:v>
      </x:c>
      <x:c r="C660" s="57" t="str">
        <x:v>Perfil.SHW. Nivelador Deslizante/Movel 4705-6M Branco 1kG.=2,52m</x:v>
      </x:c>
      <x:c r="D660" s="21" t="str">
        <x:v>Branco</x:v>
      </x:c>
      <x:c r="E660" s="24" t="n">
        <x:v>40.57</x:v>
      </x:c>
      <x:c r="F660" s="34" t="n">
        <x:v>2.52</x:v>
      </x:c>
      <x:c r="G660" s="21" t="str">
        <x:v>descricao</x:v>
      </x:c>
      <x:c r="H660" s="35" t="n">
        <x:f>IFERROR(E660/F660,"")</x:f>
        <x:v>16.099206349206348</x:v>
      </x:c>
      <x:c r="I660" s="17" t="str">
        <x:v>Precificado</x:v>
      </x:c>
    </x:row>
    <x:row r="661">
      <x:c r="A661" s="16" t="n">
        <x:v>661</x:v>
      </x:c>
      <x:c r="B661" s="21" t="str">
        <x:v>001.008.002.001.61</x:v>
      </x:c>
      <x:c r="C661" s="57" t="str">
        <x:v>Perfil.SHW. Nivelador Shadow (5294 REI933) PINTAR {1kg.=1,61ml}a (Q.A.F.L UNX) F0791 F,,</x:v>
      </x:c>
      <x:c r="D661" s="21" t="str">
        <x:v>Silver/Stone/Shadow</x:v>
      </x:c>
      <x:c r="E661" s="24" t="n">
        <x:v>42.61</x:v>
      </x:c>
      <x:c r="F661" s="34" t="n">
        <x:v>1.61</x:v>
      </x:c>
      <x:c r="G661" s="21" t="str">
        <x:v>descricao</x:v>
      </x:c>
      <x:c r="H661" s="35" t="n">
        <x:f>IFERROR(E661/F661,"")</x:f>
        <x:v>26.465838509316768</x:v>
      </x:c>
      <x:c r="I661" s="17" t="str">
        <x:v>Precificado</x:v>
      </x:c>
    </x:row>
    <x:row r="662">
      <x:c r="A662" s="18" t="n">
        <x:v>662</x:v>
      </x:c>
      <x:c r="B662" s="22" t="str">
        <x:v>001.008.002.233.52</x:v>
      </x:c>
      <x:c r="C662" s="58" t="str">
        <x:v>Perfil.SHW. Nivelador Shadow (5294 REI933) Preto pt {1kg.=1,61ml}PCT60M (Q.A.F.L UNX)F0234</x:v>
      </x:c>
      <x:c r="D662" s="22" t="str">
        <x:v>Silver/Stone/Shadow</x:v>
      </x:c>
      <x:c r="E662" s="25" t="n">
        <x:v>42.61</x:v>
      </x:c>
      <x:c r="F662" s="36" t="n">
        <x:v>1.61</x:v>
      </x:c>
      <x:c r="G662" s="22" t="str">
        <x:v>descricao</x:v>
      </x:c>
      <x:c r="H662" s="37" t="n">
        <x:f>IFERROR(E662/F662,"")</x:f>
        <x:v>26.465838509316768</x:v>
      </x:c>
      <x:c r="I662" s="19" t="str">
        <x:v>Precificado</x:v>
      </x:c>
    </x:row>
  </x:sheetData>
  <x:pageMargins left="0.7" right="0.7" top="0.75" bottom="0.75" header="0.3" footer="0.3"/>
  <x:tableParts count="1">
    <x:tablePart xmlns:r="http://schemas.openxmlformats.org/officeDocument/2006/relationships" r:id="R541f1dd1ebcf49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2" hidden="0" customWidth="1"/>
    <x:col min="4" max="4" width="28" hidden="0" customWidth="1"/>
    <x:col min="5" max="5" width="48" hidden="0" customWidth="1"/>
  </x:cols>
  <x:sheetData>
    <x:row r="1">
      <x:c r="A1" s="10" t="str">
        <x:v>Linha Excel</x:v>
      </x:c>
      <x:c r="B1" s="13" t="str">
        <x:v>SKU</x:v>
      </x:c>
      <x:c r="C1" s="13" t="str">
        <x:v>Descrição</x:v>
      </x:c>
      <x:c r="D1" s="13" t="str">
        <x:v>Categoria</x:v>
      </x:c>
      <x:c r="E1" s="11" t="str">
        <x:v>Pendência</x:v>
      </x:c>
    </x:row>
    <x:row r="2">
      <x:c r="A2" s="47" t="n">
        <x:v>2</x:v>
      </x:c>
      <x:c r="B2" s="48" t="str">
        <x:v>TB.000.000.002</x:v>
      </x:c>
      <x:c r="C2" s="59" t="str">
        <x:v>Perfil AL Tubular R PC005-6000 Branco ML}A sob demanda</x:v>
      </x:c>
      <x:c r="D2" s="59" t="str">
        <x:v>Branco</x:v>
      </x:c>
      <x:c r="E2" s="60" t="str">
        <x:v>Descrição sem fator válido de metros lineares por kg</x:v>
      </x:c>
    </x:row>
    <x:row r="3">
      <x:c r="A3" s="50" t="n">
        <x:v>3</x:v>
      </x:c>
      <x:c r="B3" s="51" t="str">
        <x:v>TB.000.000.001</x:v>
      </x:c>
      <x:c r="C3" s="61" t="str">
        <x:v>Perfil AL Tubular R PC005-6000 Preto ML}A  sob demanda</x:v>
      </x:c>
      <x:c r="D3" s="61" t="str">
        <x:v>Preto</x:v>
      </x:c>
      <x:c r="E3" s="62" t="str">
        <x:v>Descrição sem fator válido de metros lineares por kg</x:v>
      </x:c>
    </x:row>
    <x:row r="4">
      <x:c r="A4" s="50" t="n">
        <x:v>4</x:v>
      </x:c>
      <x:c r="B4" s="51" t="str">
        <x:v>PT.000.17</x:v>
      </x:c>
      <x:c r="C4" s="61" t="str">
        <x:v>Perfil aluminio estrutural 45x90mm (Ban001)-4,60m-Cru ml}a</x:v>
      </x:c>
      <x:c r="D4" s="61" t="str">
        <x:v>Alumínio cru</x:v>
      </x:c>
      <x:c r="E4" s="62" t="str">
        <x:v>Descrição sem fator válido de metros lineares por kg</x:v>
      </x:c>
    </x:row>
    <x:row r="5">
      <x:c r="A5" s="50" t="n">
        <x:v>6</x:v>
      </x:c>
      <x:c r="B5" s="51" t="str">
        <x:v>PS.000.040</x:v>
      </x:c>
      <x:c r="C5" s="61" t="str">
        <x:v>Perfil Arremate Guia Z Blinds 90 Branco 5,50m (28615501) 06/24 1kg.= Pct5,50f(toldo.) - FORA DE LINHA</x:v>
      </x:c>
      <x:c r="D5" s="61" t="str">
        <x:v>Branco</x:v>
      </x:c>
      <x:c r="E5" s="62" t="str">
        <x:v>Descrição sem fator válido de metros lineares por kg</x:v>
      </x:c>
    </x:row>
    <x:row r="6">
      <x:c r="A6" s="50" t="n">
        <x:v>17</x:v>
      </x:c>
      <x:c r="B6" s="51" t="str">
        <x:v>TD.000.004</x:v>
      </x:c>
      <x:c r="C6" s="61" t="str">
        <x:v>Perfil Barra Carga Screen Branco (80170038) 1kg.= F0791 F,,</x:v>
      </x:c>
      <x:c r="D6" s="61" t="str">
        <x:v>Branco</x:v>
      </x:c>
      <x:c r="E6" s="62" t="str">
        <x:v>Descrição sem fator válido de metros lineares por kg</x:v>
      </x:c>
    </x:row>
    <x:row r="7">
      <x:c r="A7" s="50" t="n">
        <x:v>18</x:v>
      </x:c>
      <x:c r="B7" s="51" t="str">
        <x:v>PS.000.655</x:v>
      </x:c>
      <x:c r="C7" s="61" t="str">
        <x:v>Perfil Barra chata 1" x 1/8" 6,00m preta ml}a Obs J 1kg.=</x:v>
      </x:c>
      <x:c r="D7" s="61" t="str">
        <x:v>Preto</x:v>
      </x:c>
      <x:c r="E7" s="62" t="str">
        <x:v>Descrição sem fator válido de metros lineares por kg</x:v>
      </x:c>
    </x:row>
    <x:row r="8">
      <x:c r="A8" s="50" t="n">
        <x:v>19</x:v>
      </x:c>
      <x:c r="B8" s="51" t="str">
        <x:v>PS.000.280</x:v>
      </x:c>
      <x:c r="C8" s="61" t="str">
        <x:v>Perfil Barra de ferro redonda crua 1 polegada 6m inteira MP (1268) 1kg.= Pct6 03/23 (toldo.)  ml}a</x:v>
      </x:c>
      <x:c r="D8" s="61" t="str">
        <x:v>Aço/outros</x:v>
      </x:c>
      <x:c r="E8" s="62" t="str">
        <x:v>Descrição sem fator válido de metros lineares por kg</x:v>
      </x:c>
    </x:row>
    <x:row r="9">
      <x:c r="A9" s="50" t="n">
        <x:v>20</x:v>
      </x:c>
      <x:c r="B9" s="51" t="str">
        <x:v>PS.000.285</x:v>
      </x:c>
      <x:c r="C9" s="61" t="str">
        <x:v>Perfil Barra ferro lamin.redon. Zincado 6m 1268 (A) 1kg.= UX-0027 beneficiado (a.c.t.d) (toldo) mrp106</x:v>
      </x:c>
      <x:c r="D9" s="61" t="str">
        <x:v>Aço/outros</x:v>
      </x:c>
      <x:c r="E9" s="62" t="str">
        <x:v>Descrição sem fator válido de metros lineares por kg</x:v>
      </x:c>
    </x:row>
    <x:row r="10">
      <x:c r="A10" s="50" t="n">
        <x:v>22</x:v>
      </x:c>
      <x:c r="B10" s="51" t="str">
        <x:v>4.5.075.199.1.</x:v>
      </x:c>
      <x:c r="C10" s="61" t="str">
        <x:v>Perfil Barra Redonda Inox 304 9,53 X 6000mm  (toldo.) 06/24 ss PS.000.053</x:v>
      </x:c>
      <x:c r="D10" s="61" t="str">
        <x:v>Aço/outros</x:v>
      </x:c>
      <x:c r="E10" s="62" t="str">
        <x:v>Descrição sem fator válido de metros lineares por kg</x:v>
      </x:c>
    </x:row>
    <x:row r="11">
      <x:c r="A11" s="50" t="n">
        <x:v>23</x:v>
      </x:c>
      <x:c r="B11" s="51" t="str">
        <x:v>TD.000.006</x:v>
      </x:c>
      <x:c r="C11" s="61" t="str">
        <x:v>Perfil Barra Refuerzo 22mm Screen Zincada 4m (80170055) 1kg.= F0791 F,,</x:v>
      </x:c>
      <x:c r="D11" s="61" t="str">
        <x:v>Aço/outros</x:v>
      </x:c>
      <x:c r="E11" s="62" t="str">
        <x:v>Descrição sem fator válido de metros lineares por kg</x:v>
      </x:c>
    </x:row>
    <x:row r="12">
      <x:c r="A12" s="50" t="n">
        <x:v>30</x:v>
      </x:c>
      <x:c r="B12" s="51" t="str">
        <x:v>1008004009</x:v>
      </x:c>
      <x:c r="C12" s="61" t="str">
        <x:v>Perfil Base de PHA 25/16 cor 009 PCT4,9 cx88,2 1kg.= (Q.A.F.L.)</x:v>
      </x:c>
      <x:c r="D12" s="61" t="str">
        <x:v>Código de cor</x:v>
      </x:c>
      <x:c r="E12" s="62" t="str">
        <x:v>Descrição sem fator válido de metros lineares por kg</x:v>
      </x:c>
    </x:row>
    <x:row r="13">
      <x:c r="A13" s="50" t="n">
        <x:v>31</x:v>
      </x:c>
      <x:c r="B13" s="51" t="str">
        <x:v>1008004020</x:v>
      </x:c>
      <x:c r="C13" s="61" t="str">
        <x:v>Perfil Base de PHA 25/16 cor 020  PCT4,9 cx88,2 1kg.= (Q.A.F.L.)</x:v>
      </x:c>
      <x:c r="D13" s="61" t="str">
        <x:v>Código de cor</x:v>
      </x:c>
      <x:c r="E13" s="62" t="str">
        <x:v>Descrição sem fator válido de metros lineares por kg</x:v>
      </x:c>
    </x:row>
    <x:row r="14">
      <x:c r="A14" s="50" t="n">
        <x:v>32</x:v>
      </x:c>
      <x:c r="B14" s="51" t="str">
        <x:v>1008004057</x:v>
      </x:c>
      <x:c r="C14" s="61" t="str">
        <x:v>Perfil Base de PHA 25/16 Cor 057 PCT4,9 cx88,2 1kg.= F0583 (Q.A.F.L.)</x:v>
      </x:c>
      <x:c r="D14" s="61" t="str">
        <x:v>Código de cor</x:v>
      </x:c>
      <x:c r="E14" s="62" t="str">
        <x:v>Descrição sem fator válido de metros lineares por kg</x:v>
      </x:c>
    </x:row>
    <x:row r="15">
      <x:c r="A15" s="50" t="n">
        <x:v>33</x:v>
      </x:c>
      <x:c r="B15" s="51" t="str">
        <x:v>1008004060</x:v>
      </x:c>
      <x:c r="C15" s="61" t="str">
        <x:v>Perfil Base de PHA 25/16 Cor 060 PCT4,9 cx88,2 1kg.= (Q.A.F.L.)</x:v>
      </x:c>
      <x:c r="D15" s="61" t="str">
        <x:v>Código de cor</x:v>
      </x:c>
      <x:c r="E15" s="62" t="str">
        <x:v>Descrição sem fator válido de metros lineares por kg</x:v>
      </x:c>
    </x:row>
    <x:row r="16">
      <x:c r="A16" s="50" t="n">
        <x:v>34</x:v>
      </x:c>
      <x:c r="B16" s="51" t="str">
        <x:v>1008004061</x:v>
      </x:c>
      <x:c r="C16" s="61" t="str">
        <x:v>Perfil Base de PHA 25/16 Cor 061 PCT4,9 cx88,2 1kg.= (Q.A.F.L.)</x:v>
      </x:c>
      <x:c r="D16" s="61" t="str">
        <x:v>Código de cor</x:v>
      </x:c>
      <x:c r="E16" s="62" t="str">
        <x:v>Descrição sem fator válido de metros lineares por kg</x:v>
      </x:c>
    </x:row>
    <x:row r="17">
      <x:c r="A17" s="50" t="n">
        <x:v>35</x:v>
      </x:c>
      <x:c r="B17" s="51" t="str">
        <x:v>1008004108</x:v>
      </x:c>
      <x:c r="C17" s="61" t="str">
        <x:v>Perfil Base de PHA 25/16 Cor 108 PCT4,9 cx88,2 1kg.= (Q.A.F.L.)</x:v>
      </x:c>
      <x:c r="D17" s="61" t="str">
        <x:v>Código de cor</x:v>
      </x:c>
      <x:c r="E17" s="62" t="str">
        <x:v>Descrição sem fator válido de metros lineares por kg</x:v>
      </x:c>
    </x:row>
    <x:row r="18">
      <x:c r="A18" s="50" t="n">
        <x:v>36</x:v>
      </x:c>
      <x:c r="B18" s="51" t="str">
        <x:v>1008004302</x:v>
      </x:c>
      <x:c r="C18" s="61" t="str">
        <x:v>Perfil Base de PHA 25/16 Cor 302 PCT4,88 cx87,84 F0583 1kg.=  (Q.A.F.L.)</x:v>
      </x:c>
      <x:c r="D18" s="61" t="str">
        <x:v>Código de cor</x:v>
      </x:c>
      <x:c r="E18" s="62" t="str">
        <x:v>Descrição sem fator válido de metros lineares por kg</x:v>
      </x:c>
    </x:row>
    <x:row r="19">
      <x:c r="A19" s="50" t="n">
        <x:v>37</x:v>
      </x:c>
      <x:c r="B19" s="51" t="str">
        <x:v>1008004303</x:v>
      </x:c>
      <x:c r="C19" s="61" t="str">
        <x:v>Perfil Base de PHA 25/16 Cor 303 PCT4,88 cx87,84 F0583 1kg.= (Q.A.F.L.)</x:v>
      </x:c>
      <x:c r="D19" s="61" t="str">
        <x:v>Código de cor</x:v>
      </x:c>
      <x:c r="E19" s="62" t="str">
        <x:v>Descrição sem fator válido de metros lineares por kg</x:v>
      </x:c>
    </x:row>
    <x:row r="20">
      <x:c r="A20" s="50" t="n">
        <x:v>38</x:v>
      </x:c>
      <x:c r="B20" s="51" t="str">
        <x:v>001.008.004.227.2</x:v>
      </x:c>
      <x:c r="C20" s="61" t="str">
        <x:v>Perfil Base de PHA 25/16 Cor 706 PCT4,88 cx87,84 F0791 F, 1kg.= (Q.A.F.L.)</x:v>
      </x:c>
      <x:c r="D20" s="61" t="str">
        <x:v>Código de cor</x:v>
      </x:c>
      <x:c r="E20" s="62" t="str">
        <x:v>Descrição sem fator válido de metros lineares por kg</x:v>
      </x:c>
    </x:row>
    <x:row r="21">
      <x:c r="A21" s="50" t="n">
        <x:v>39</x:v>
      </x:c>
      <x:c r="B21" s="51" t="str">
        <x:v>1008004724</x:v>
      </x:c>
      <x:c r="C21" s="61" t="str">
        <x:v>Perfil Base de PHA 25/16 Cor 724  PCT4,9 cx88,2 1kg.= (Q.A.F.L.)</x:v>
      </x:c>
      <x:c r="D21" s="61" t="str">
        <x:v>Código de cor</x:v>
      </x:c>
      <x:c r="E21" s="62" t="str">
        <x:v>Descrição sem fator válido de metros lineares por kg</x:v>
      </x:c>
    </x:row>
    <x:row r="22">
      <x:c r="A22" s="50" t="n">
        <x:v>40</x:v>
      </x:c>
      <x:c r="B22" s="51" t="str">
        <x:v>1008004755</x:v>
      </x:c>
      <x:c r="C22" s="61" t="str">
        <x:v>Perfil Base de PHA 25/16 Cor 755 PCT4,88 cx87,84 F0791 F, 1kg.= (Q.A.F.L.)</x:v>
      </x:c>
      <x:c r="D22" s="61" t="str">
        <x:v>Código de cor</x:v>
      </x:c>
      <x:c r="E22" s="62" t="str">
        <x:v>Descrição sem fator válido de metros lineares por kg</x:v>
      </x:c>
    </x:row>
    <x:row r="23">
      <x:c r="A23" s="50" t="n">
        <x:v>41</x:v>
      </x:c>
      <x:c r="B23" s="51" t="str">
        <x:v>1008004958</x:v>
      </x:c>
      <x:c r="C23" s="61" t="str">
        <x:v>Perfil Base de PHA 25/16 Cor 958 PCT4,9 cx88,2 1kg.= (Q.A.F.L.)</x:v>
      </x:c>
      <x:c r="D23" s="61" t="str">
        <x:v>Código de cor</x:v>
      </x:c>
      <x:c r="E23" s="62" t="str">
        <x:v>Descrição sem fator válido de metros lineares por kg</x:v>
      </x:c>
    </x:row>
    <x:row r="24">
      <x:c r="A24" s="50" t="n">
        <x:v>99</x:v>
      </x:c>
      <x:c r="B24" s="51" t="str">
        <x:v>001.008.004.009.1</x:v>
      </x:c>
      <x:c r="C24" s="61" t="str">
        <x:v>Perfil Cabecote de PHA 25/16 Cor 009  PCT4,9 cx88,2 1kg.= (Q.A.F.L.)</x:v>
      </x:c>
      <x:c r="D24" s="61" t="str">
        <x:v>Código de cor</x:v>
      </x:c>
      <x:c r="E24" s="62" t="str">
        <x:v>Descrição sem fator válido de metros lineares por kg</x:v>
      </x:c>
    </x:row>
    <x:row r="25">
      <x:c r="A25" s="50" t="n">
        <x:v>100</x:v>
      </x:c>
      <x:c r="B25" s="51" t="str">
        <x:v>001.008.004.020.1</x:v>
      </x:c>
      <x:c r="C25" s="61" t="str">
        <x:v>Perfil Cabeçote de PHA 25/16 Cor 020 PCT4,9 cx88,2 1kg.= (Q.A.F.L.)</x:v>
      </x:c>
      <x:c r="D25" s="61" t="str">
        <x:v>Código de cor</x:v>
      </x:c>
      <x:c r="E25" s="62" t="str">
        <x:v>Descrição sem fator válido de metros lineares por kg</x:v>
      </x:c>
    </x:row>
    <x:row r="26">
      <x:c r="A26" s="50" t="n">
        <x:v>101</x:v>
      </x:c>
      <x:c r="B26" s="51" t="str">
        <x:v>001.008.004.034.1</x:v>
      </x:c>
      <x:c r="C26" s="61" t="str">
        <x:v>Perfil Cabeçote de PHA 25/16 Cor 034 4,9m PCT88,2 1kg.= (Q.A.F.L.)</x:v>
      </x:c>
      <x:c r="D26" s="61" t="str">
        <x:v>Código de cor</x:v>
      </x:c>
      <x:c r="E26" s="62" t="str">
        <x:v>Descrição sem fator válido de metros lineares por kg</x:v>
      </x:c>
    </x:row>
    <x:row r="27">
      <x:c r="A27" s="50" t="n">
        <x:v>102</x:v>
      </x:c>
      <x:c r="B27" s="51" t="str">
        <x:v>001.008.004.057.1</x:v>
      </x:c>
      <x:c r="C27" s="61" t="str">
        <x:v>Perfil Cabeçote de PHA 25/16 Cor 057 PCT4,9 cx88,2 1kg.= F0583 (Q.A.F.L.)</x:v>
      </x:c>
      <x:c r="D27" s="61" t="str">
        <x:v>Código de cor</x:v>
      </x:c>
      <x:c r="E27" s="62" t="str">
        <x:v>Descrição sem fator válido de metros lineares por kg</x:v>
      </x:c>
    </x:row>
    <x:row r="28">
      <x:c r="A28" s="50" t="n">
        <x:v>103</x:v>
      </x:c>
      <x:c r="B28" s="51" t="str">
        <x:v>001.008.004.060.1</x:v>
      </x:c>
      <x:c r="C28" s="61" t="str">
        <x:v>Perfil Cabeçote de PHA 25/16 Cor 060 PCT4,9 cx88,2 1kg.= (Q.A.F.L.)</x:v>
      </x:c>
      <x:c r="D28" s="61" t="str">
        <x:v>Código de cor</x:v>
      </x:c>
      <x:c r="E28" s="62" t="str">
        <x:v>Descrição sem fator válido de metros lineares por kg</x:v>
      </x:c>
    </x:row>
    <x:row r="29">
      <x:c r="A29" s="50" t="n">
        <x:v>104</x:v>
      </x:c>
      <x:c r="B29" s="51" t="str">
        <x:v>001.008.004.061.1</x:v>
      </x:c>
      <x:c r="C29" s="61" t="str">
        <x:v>Perfil Cabecote de PHA 25/16 Cor 061 PCT4,9 cx88,2 1kg.= (Q.A.F.L.)</x:v>
      </x:c>
      <x:c r="D29" s="61" t="str">
        <x:v>Código de cor</x:v>
      </x:c>
      <x:c r="E29" s="62" t="str">
        <x:v>Descrição sem fator válido de metros lineares por kg</x:v>
      </x:c>
    </x:row>
    <x:row r="30">
      <x:c r="A30" s="50" t="n">
        <x:v>105</x:v>
      </x:c>
      <x:c r="B30" s="51" t="str">
        <x:v>001.008.004.108.1</x:v>
      </x:c>
      <x:c r="C30" s="61" t="str">
        <x:v>Perfil Cabecote de PHA 25/16 Cor 108  4,9m PCT88,2 1kg.= (Q.A.F.L.)</x:v>
      </x:c>
      <x:c r="D30" s="61" t="str">
        <x:v>Código de cor</x:v>
      </x:c>
      <x:c r="E30" s="62" t="str">
        <x:v>Descrição sem fator válido de metros lineares por kg</x:v>
      </x:c>
    </x:row>
    <x:row r="31">
      <x:c r="A31" s="50" t="n">
        <x:v>106</x:v>
      </x:c>
      <x:c r="B31" s="51" t="str">
        <x:v>001.008.004.233.1</x:v>
      </x:c>
      <x:c r="C31" s="61" t="str">
        <x:v>Perfil Cabeçote de PHA 25/16 Cor 233 4,9m PCT88,2 1kg.= (Q.A.F.L.)</x:v>
      </x:c>
      <x:c r="D31" s="61" t="str">
        <x:v>Código de cor</x:v>
      </x:c>
      <x:c r="E31" s="62" t="str">
        <x:v>Descrição sem fator válido de metros lineares por kg</x:v>
      </x:c>
    </x:row>
    <x:row r="32">
      <x:c r="A32" s="50" t="n">
        <x:v>107</x:v>
      </x:c>
      <x:c r="B32" s="51" t="str">
        <x:v>001.008.004.724.1</x:v>
      </x:c>
      <x:c r="C32" s="61" t="str">
        <x:v>Perfil Cabecote de PHA 25/16 Cor 724 PCT4,9 cx88,2 1kg.= (Q.A.F.L.)</x:v>
      </x:c>
      <x:c r="D32" s="61" t="str">
        <x:v>Código de cor</x:v>
      </x:c>
      <x:c r="E32" s="62" t="str">
        <x:v>Descrição sem fator válido de metros lineares por kg</x:v>
      </x:c>
    </x:row>
    <x:row r="33">
      <x:c r="A33" s="50" t="n">
        <x:v>108</x:v>
      </x:c>
      <x:c r="B33" s="51" t="str">
        <x:v>001.008.004.958.1</x:v>
      </x:c>
      <x:c r="C33" s="61" t="str">
        <x:v>Perfil Cabecote de PHA 25/16 Cor 958  PCT4,9 cx88,2 1kg.= (Q.A.F.L.)</x:v>
      </x:c>
      <x:c r="D33" s="61" t="str">
        <x:v>Código de cor</x:v>
      </x:c>
      <x:c r="E33" s="62" t="str">
        <x:v>Descrição sem fator válido de metros lineares por kg</x:v>
      </x:c>
    </x:row>
    <x:row r="34">
      <x:c r="A34" s="50" t="n">
        <x:v>117</x:v>
      </x:c>
      <x:c r="B34" s="51" t="str">
        <x:v>4.2.013.009.1</x:v>
      </x:c>
      <x:c r="C34" s="61" t="str">
        <x:v>Perfil Cabeçote e Base de PHA 25/16 Cor 009  PCT4,9 cx88,2 1kg.=</x:v>
      </x:c>
      <x:c r="D34" s="61" t="str">
        <x:v>Código de cor</x:v>
      </x:c>
      <x:c r="E34" s="62" t="str">
        <x:v>Descrição sem fator válido de metros lineares por kg</x:v>
      </x:c>
    </x:row>
    <x:row r="35">
      <x:c r="A35" s="50" t="n">
        <x:v>118</x:v>
      </x:c>
      <x:c r="B35" s="51" t="str">
        <x:v>UH25.000.000.003</x:v>
      </x:c>
      <x:c r="C35" s="61" t="str">
        <x:v>Perfil Cabecote e Base de PHA 25/16 Cor 027 cx88,2 1kg.=</x:v>
      </x:c>
      <x:c r="D35" s="61" t="str">
        <x:v>Código de cor</x:v>
      </x:c>
      <x:c r="E35" s="62" t="str">
        <x:v>Descrição sem fator válido de metros lineares por kg</x:v>
      </x:c>
    </x:row>
    <x:row r="36">
      <x:c r="A36" s="50" t="n">
        <x:v>119</x:v>
      </x:c>
      <x:c r="B36" s="51" t="str">
        <x:v>4.2.013.216.1</x:v>
      </x:c>
      <x:c r="C36" s="61" t="str">
        <x:v>Perfil Cabeçote e Base de PHA 25/16 Cor 027 cx88,2 novo</x:v>
      </x:c>
      <x:c r="D36" s="61" t="str">
        <x:v>Código de cor</x:v>
      </x:c>
      <x:c r="E36" s="62" t="str">
        <x:v>Descrição sem fator válido de metros lineares por kg</x:v>
      </x:c>
    </x:row>
    <x:row r="37">
      <x:c r="A37" s="50" t="n">
        <x:v>120</x:v>
      </x:c>
      <x:c r="B37" s="51" t="str">
        <x:v>UH25.000.000.004</x:v>
      </x:c>
      <x:c r="C37" s="61" t="str">
        <x:v>Perfil Cabecote e Base de PHA 25/16 Cor 031 PCT4,9 cx88,2 1kg.=</x:v>
      </x:c>
      <x:c r="D37" s="61" t="str">
        <x:v>Código de cor</x:v>
      </x:c>
      <x:c r="E37" s="62" t="str">
        <x:v>Descrição sem fator válido de metros lineares por kg</x:v>
      </x:c>
    </x:row>
    <x:row r="38">
      <x:c r="A38" s="50" t="n">
        <x:v>121</x:v>
      </x:c>
      <x:c r="B38" s="51" t="str">
        <x:v>UH25.000.000.005</x:v>
      </x:c>
      <x:c r="C38" s="61" t="str">
        <x:v>Perfil Cabecote e Base de PHA 25/16 Cor 034 4,9m (B) PCT88,2 1kg.=</x:v>
      </x:c>
      <x:c r="D38" s="61" t="str">
        <x:v>Código de cor</x:v>
      </x:c>
      <x:c r="E38" s="62" t="str">
        <x:v>Descrição sem fator válido de metros lineares por kg</x:v>
      </x:c>
    </x:row>
    <x:row r="39">
      <x:c r="A39" s="50" t="n">
        <x:v>122</x:v>
      </x:c>
      <x:c r="B39" s="51" t="str">
        <x:v>4.2.013.034.1</x:v>
      </x:c>
      <x:c r="C39" s="61" t="str">
        <x:v>Perfil Cabeçote e Base de PHA 25/16 Cor 034 4,9m (B) PCT88,2 novo</x:v>
      </x:c>
      <x:c r="D39" s="61" t="str">
        <x:v>Código de cor</x:v>
      </x:c>
      <x:c r="E39" s="62" t="str">
        <x:v>Descrição sem fator válido de metros lineares por kg</x:v>
      </x:c>
    </x:row>
    <x:row r="40">
      <x:c r="A40" s="50" t="n">
        <x:v>123</x:v>
      </x:c>
      <x:c r="B40" s="51" t="str">
        <x:v>UH25.000.000.006</x:v>
      </x:c>
      <x:c r="C40" s="61" t="str">
        <x:v>Perfil Cabecote e Base de PHA 25/16 Cor 057 PCT4,9 cx88,2 1kg.=</x:v>
      </x:c>
      <x:c r="D40" s="61" t="str">
        <x:v>Código de cor</x:v>
      </x:c>
      <x:c r="E40" s="62" t="str">
        <x:v>Descrição sem fator válido de metros lineares por kg</x:v>
      </x:c>
    </x:row>
    <x:row r="41">
      <x:c r="A41" s="50" t="n">
        <x:v>124</x:v>
      </x:c>
      <x:c r="B41" s="51" t="str">
        <x:v>UH25.000.000.007</x:v>
      </x:c>
      <x:c r="C41" s="61" t="str">
        <x:v>Perfil Cabecote e Base de PHA 25/16 Cor 060 PCT4,9 cx88,2 1kg.=</x:v>
      </x:c>
      <x:c r="D41" s="61" t="str">
        <x:v>Código de cor</x:v>
      </x:c>
      <x:c r="E41" s="62" t="str">
        <x:v>Descrição sem fator válido de metros lineares por kg</x:v>
      </x:c>
    </x:row>
    <x:row r="42">
      <x:c r="A42" s="50" t="n">
        <x:v>125</x:v>
      </x:c>
      <x:c r="B42" s="51" t="str">
        <x:v>UH25.000.000.008</x:v>
      </x:c>
      <x:c r="C42" s="61" t="str">
        <x:v>Perfil Cabeçote e Base de PHA 25/16 Cor 061 PCT4,9 cx88,2 1kg.=</x:v>
      </x:c>
      <x:c r="D42" s="61" t="str">
        <x:v>Código de cor</x:v>
      </x:c>
      <x:c r="E42" s="62" t="str">
        <x:v>Descrição sem fator válido de metros lineares por kg</x:v>
      </x:c>
    </x:row>
    <x:row r="43">
      <x:c r="A43" s="50" t="n">
        <x:v>126</x:v>
      </x:c>
      <x:c r="B43" s="51" t="str">
        <x:v>UH25.000.000.009</x:v>
      </x:c>
      <x:c r="C43" s="61" t="str">
        <x:v>Perfil Cabecote e Base de PHA 25/16 Cor 100 PCT4,9 cx88,2 1kg.=</x:v>
      </x:c>
      <x:c r="D43" s="61" t="str">
        <x:v>Código de cor</x:v>
      </x:c>
      <x:c r="E43" s="62" t="str">
        <x:v>Descrição sem fator válido de metros lineares por kg</x:v>
      </x:c>
    </x:row>
    <x:row r="44">
      <x:c r="A44" s="50" t="n">
        <x:v>127</x:v>
      </x:c>
      <x:c r="B44" s="51" t="str">
        <x:v>UH25.000.000.010</x:v>
      </x:c>
      <x:c r="C44" s="61" t="str">
        <x:v>Perfil Cabecote e Base de PHA 25/16 Cor 108  4,9m PCT88,2 1kg.=</x:v>
      </x:c>
      <x:c r="D44" s="61" t="str">
        <x:v>Código de cor</x:v>
      </x:c>
      <x:c r="E44" s="62" t="str">
        <x:v>Descrição sem fator válido de metros lineares por kg</x:v>
      </x:c>
    </x:row>
    <x:row r="45">
      <x:c r="A45" s="50" t="n">
        <x:v>128</x:v>
      </x:c>
      <x:c r="B45" s="51" t="str">
        <x:v>UH25.000.000.011</x:v>
      </x:c>
      <x:c r="C45" s="61" t="str">
        <x:v>Perfil Cabecote e Base de PHA 25/16 Cor 112 4,9m PCT88,2 1kg.=</x:v>
      </x:c>
      <x:c r="D45" s="61" t="str">
        <x:v>Código de cor</x:v>
      </x:c>
      <x:c r="E45" s="62" t="str">
        <x:v>Descrição sem fator válido de metros lineares por kg</x:v>
      </x:c>
    </x:row>
    <x:row r="46">
      <x:c r="A46" s="50" t="n">
        <x:v>129</x:v>
      </x:c>
      <x:c r="B46" s="51" t="str">
        <x:v>4.2.013.112.1</x:v>
      </x:c>
      <x:c r="C46" s="61" t="str">
        <x:v>Perfil Cabeçote e Base de PHA 25/16 Cor 112 PCT88,2 PCT4,9 NOVO</x:v>
      </x:c>
      <x:c r="D46" s="61" t="str">
        <x:v>Código de cor</x:v>
      </x:c>
      <x:c r="E46" s="62" t="str">
        <x:v>Descrição sem fator válido de metros lineares por kg</x:v>
      </x:c>
    </x:row>
    <x:row r="47">
      <x:c r="A47" s="50" t="n">
        <x:v>130</x:v>
      </x:c>
      <x:c r="B47" s="51" t="str">
        <x:v>UH25.000.000.013</x:v>
      </x:c>
      <x:c r="C47" s="61" t="str">
        <x:v>Perfil Cabecote e Base de PHA 25/16 Cor 1553-131  4,9m (B) PCT88,2 1kg.=</x:v>
      </x:c>
      <x:c r="D47" s="61" t="str">
        <x:v>Código de cor</x:v>
      </x:c>
      <x:c r="E47" s="62" t="str">
        <x:v>Descrição sem fator válido de metros lineares por kg</x:v>
      </x:c>
    </x:row>
    <x:row r="48">
      <x:c r="A48" s="50" t="n">
        <x:v>131</x:v>
      </x:c>
      <x:c r="B48" s="51" t="str">
        <x:v>UH25.000.000.014</x:v>
      </x:c>
      <x:c r="C48" s="61" t="str">
        <x:v>Perfil Cabecote e Base de PHA 25/16 Cor 202  PCT88,2 PCT4,90 1kg.=</x:v>
      </x:c>
      <x:c r="D48" s="61" t="str">
        <x:v>Código de cor</x:v>
      </x:c>
      <x:c r="E48" s="62" t="str">
        <x:v>Descrição sem fator válido de metros lineares por kg</x:v>
      </x:c>
    </x:row>
    <x:row r="49">
      <x:c r="A49" s="50" t="n">
        <x:v>132</x:v>
      </x:c>
      <x:c r="B49" s="51" t="str">
        <x:v>4.2.013.233.1</x:v>
      </x:c>
      <x:c r="C49" s="61" t="str">
        <x:v>Perfil Cabeçote e Base de PHA 25/16 Cor 233 **CM2,63/DIAS **Pct88,2mf Pct4,9 novo</x:v>
      </x:c>
      <x:c r="D49" s="61" t="str">
        <x:v>Código de cor</x:v>
      </x:c>
      <x:c r="E49" s="62" t="str">
        <x:v>Descrição sem fator válido de metros lineares por kg</x:v>
      </x:c>
    </x:row>
    <x:row r="50">
      <x:c r="A50" s="50" t="n">
        <x:v>133</x:v>
      </x:c>
      <x:c r="B50" s="51" t="str">
        <x:v>UH25.000.000.015</x:v>
      </x:c>
      <x:c r="C50" s="61" t="str">
        <x:v>Perfil Cabecote e Base de PHA 25/16 Cor 233 4,9m (B) PCT88,2</x:v>
      </x:c>
      <x:c r="D50" s="61" t="str">
        <x:v>Código de cor</x:v>
      </x:c>
      <x:c r="E50" s="62" t="str">
        <x:v>Descrição sem fator válido de metros lineares por kg</x:v>
      </x:c>
    </x:row>
    <x:row r="51">
      <x:c r="A51" s="50" t="n">
        <x:v>134</x:v>
      </x:c>
      <x:c r="B51" s="51" t="str">
        <x:v>UH25.000.000.018</x:v>
      </x:c>
      <x:c r="C51" s="61" t="str">
        <x:v>Perfil Cabecote e Base de PHA 25/16 Cor 544 4,9m PCT88,2 (B) pct 88,2 1kg.=</x:v>
      </x:c>
      <x:c r="D51" s="61" t="str">
        <x:v>Código de cor</x:v>
      </x:c>
      <x:c r="E51" s="62" t="str">
        <x:v>Descrição sem fator válido de metros lineares por kg</x:v>
      </x:c>
    </x:row>
    <x:row r="52">
      <x:c r="A52" s="50" t="n">
        <x:v>135</x:v>
      </x:c>
      <x:c r="B52" s="51" t="str">
        <x:v>UH25.000.000.020</x:v>
      </x:c>
      <x:c r="C52" s="61" t="str">
        <x:v>Perfil Cabecote e Base de PHA 25/16 Cor 724 PCT4,9 cx88,2 1kg.=</x:v>
      </x:c>
      <x:c r="D52" s="61" t="str">
        <x:v>Código de cor</x:v>
      </x:c>
      <x:c r="E52" s="62" t="str">
        <x:v>Descrição sem fator válido de metros lineares por kg</x:v>
      </x:c>
    </x:row>
    <x:row r="53">
      <x:c r="A53" s="50" t="n">
        <x:v>136</x:v>
      </x:c>
      <x:c r="B53" s="51" t="str">
        <x:v>UH25.000.000.021</x:v>
      </x:c>
      <x:c r="C53" s="61" t="str">
        <x:v>Perfil Cabecote e Base de PHA 25/16 Cor 771 4,9m PCT88,2 pct14,7 1kg.=</x:v>
      </x:c>
      <x:c r="D53" s="61" t="str">
        <x:v>Código de cor</x:v>
      </x:c>
      <x:c r="E53" s="62" t="str">
        <x:v>Descrição sem fator válido de metros lineares por kg</x:v>
      </x:c>
    </x:row>
    <x:row r="54">
      <x:c r="A54" s="50" t="n">
        <x:v>137</x:v>
      </x:c>
      <x:c r="B54" s="51" t="str">
        <x:v>UH25.000.000.023</x:v>
      </x:c>
      <x:c r="C54" s="61" t="str">
        <x:v>Perfil Cabecote e Base de PHA 25/16 Cor 928  PCT4,9 cx88,2 1kg.=</x:v>
      </x:c>
      <x:c r="D54" s="61" t="str">
        <x:v>Código de cor</x:v>
      </x:c>
      <x:c r="E54" s="62" t="str">
        <x:v>Descrição sem fator válido de metros lineares por kg</x:v>
      </x:c>
    </x:row>
    <x:row r="55">
      <x:c r="A55" s="50" t="n">
        <x:v>138</x:v>
      </x:c>
      <x:c r="B55" s="51" t="str">
        <x:v>UH25.000.000.024</x:v>
      </x:c>
      <x:c r="C55" s="61" t="str">
        <x:v>Perfil Cabecote e Base de PHA 25/16 Cor 958  PCT4,9 cx88,2 1kg.=</x:v>
      </x:c>
      <x:c r="D55" s="61" t="str">
        <x:v>Código de cor</x:v>
      </x:c>
      <x:c r="E55" s="62" t="str">
        <x:v>Descrição sem fator válido de metros lineares por kg</x:v>
      </x:c>
    </x:row>
    <x:row r="56">
      <x:c r="A56" s="50" t="n">
        <x:v>195</x:v>
      </x:c>
      <x:c r="B56" s="51" t="str">
        <x:v>TD.000.002</x:v>
      </x:c>
      <x:c r="C56" s="61" t="str">
        <x:v>Perfil Guia Ant. Screen Branco (80170542) 1kg.= F0791 F,,</x:v>
      </x:c>
      <x:c r="D56" s="61" t="str">
        <x:v>Branco</x:v>
      </x:c>
      <x:c r="E56" s="62" t="str">
        <x:v>Descrição sem fator válido de metros lineares por kg</x:v>
      </x:c>
    </x:row>
    <x:row r="57">
      <x:c r="A57" s="50" t="n">
        <x:v>196</x:v>
      </x:c>
      <x:c r="B57" s="51" t="str">
        <x:v>PS.000.053</x:v>
      </x:c>
      <x:c r="C57" s="61" t="str">
        <x:v>Perfil Guia Haste 10Mm 3,00M (24103050) Pct3f 02/23 (toldo.) 06/24 q.a.f.l.ss 4.5.075.1991.</x:v>
      </x:c>
      <x:c r="D57" s="61" t="str">
        <x:v>Alumínio cru</x:v>
      </x:c>
      <x:c r="E57" s="62" t="str">
        <x:v>Descrição sem fator válido de metros lineares por kg</x:v>
      </x:c>
    </x:row>
    <x:row r="58">
      <x:c r="A58" s="50" t="n">
        <x:v>206</x:v>
      </x:c>
      <x:c r="B58" s="51" t="str">
        <x:v>TD.000.003</x:v>
      </x:c>
      <x:c r="C58" s="61" t="str">
        <x:v>Perfil Guia Post. Screen Branco (80170034) 1kg.= F0791 F,,</x:v>
      </x:c>
      <x:c r="D58" s="61" t="str">
        <x:v>Branco</x:v>
      </x:c>
      <x:c r="E58" s="62" t="str">
        <x:v>Descrição sem fator válido de metros lineares por kg</x:v>
      </x:c>
    </x:row>
    <x:row r="59">
      <x:c r="A59" s="50" t="n">
        <x:v>214</x:v>
      </x:c>
      <x:c r="B59" s="51" t="str">
        <x:v>PL200018</x:v>
      </x:c>
      <x:c r="C59" s="61" t="str">
        <x:v>Perfil Inferior Plissada (5851) Cor M.TEXTU. Bronze 8/19 F, 1kg.=</x:v>
      </x:c>
      <x:c r="D59" s="61" t="str">
        <x:v>Bronze</x:v>
      </x:c>
      <x:c r="E59" s="62" t="str">
        <x:v>Descrição sem fator válido de metros lineares por kg</x:v>
      </x:c>
    </x:row>
    <x:row r="60">
      <x:c r="A60" s="50" t="n">
        <x:v>215</x:v>
      </x:c>
      <x:c r="B60" s="51" t="str">
        <x:v>PL200019</x:v>
      </x:c>
      <x:c r="C60" s="61" t="str">
        <x:v>Perfil Inferior Plissada (5851) Cor M.TEXTU. Preto 8/19 kg.=</x:v>
      </x:c>
      <x:c r="D60" s="61" t="str">
        <x:v>Preto</x:v>
      </x:c>
      <x:c r="E60" s="62" t="str">
        <x:v>Descrição sem fator válido de metros lineares por kg</x:v>
      </x:c>
    </x:row>
    <x:row r="61">
      <x:c r="A61" s="50" t="n">
        <x:v>268</x:v>
      </x:c>
      <x:c r="B61" s="51" t="str">
        <x:v>PR.000.000.017</x:v>
      </x:c>
      <x:c r="C61" s="61" t="str">
        <x:v>Perfil P322 Rail (025382) 09/24 raex. ml}a</x:v>
      </x:c>
      <x:c r="D61" s="61" t="str">
        <x:v>Alumínio cru</x:v>
      </x:c>
      <x:c r="E61" s="62" t="str">
        <x:v>Descrição sem fator válido de metros lineares por kg</x:v>
      </x:c>
    </x:row>
    <x:row r="62">
      <x:c r="A62" s="50" t="n">
        <x:v>276</x:v>
      </x:c>
      <x:c r="B62" s="51" t="str">
        <x:v>TD.000.007</x:v>
      </x:c>
      <x:c r="C62" s="61" t="str">
        <x:v>Perfil Registro Screen (80170026) kg. F0791 F,,</x:v>
      </x:c>
      <x:c r="D62" s="61" t="str">
        <x:v>Alumínio cru</x:v>
      </x:c>
      <x:c r="E62" s="62" t="str">
        <x:v>Descrição sem fator válido de metros lineares por kg</x:v>
      </x:c>
    </x:row>
    <x:row r="63">
      <x:c r="A63" s="50" t="n">
        <x:v>409</x:v>
      </x:c>
      <x:c r="B63" s="51" t="str">
        <x:v>PS.000.601</x:v>
      </x:c>
      <x:c r="C63" s="61" t="str">
        <x:v>Perfil Teto Proteção 210 mm Branco 6,00m kg. (toldo.) testes ação FORA DE LINHA</x:v>
      </x:c>
      <x:c r="D63" s="61" t="str">
        <x:v>Branco</x:v>
      </x:c>
      <x:c r="E63" s="62" t="str">
        <x:v>Descrição sem fator válido de metros lineares por kg</x:v>
      </x:c>
    </x:row>
    <x:row r="64">
      <x:c r="A64" s="50" t="n">
        <x:v>410</x:v>
      </x:c>
      <x:c r="B64" s="51" t="str">
        <x:v>PS.000.602</x:v>
      </x:c>
      <x:c r="C64" s="61" t="str">
        <x:v>Perfil Teto Proteção 210 mm Preto 6,00m kg. (toldo.) testes açãoFORA DE LINHA</x:v>
      </x:c>
      <x:c r="D64" s="61" t="str">
        <x:v>Preto</x:v>
      </x:c>
      <x:c r="E64" s="62" t="str">
        <x:v>Descrição sem fator válido de metros lineares por kg</x:v>
      </x:c>
    </x:row>
    <x:row r="65">
      <x:c r="A65" s="50" t="n">
        <x:v>455</x:v>
      </x:c>
      <x:c r="B65" s="51" t="str">
        <x:v>4.5.077.001.1</x:v>
      </x:c>
      <x:c r="C65" s="61" t="str">
        <x:v>Perfil Toldo Braco Compacto A Branco Siplan 31366001-6m  {1kg.=xxxxm} Pct6f</x:v>
      </x:c>
      <x:c r="D65" s="61" t="str">
        <x:v>Branco</x:v>
      </x:c>
      <x:c r="E65" s="62" t="str">
        <x:v>Descrição sem fator válido de metros lineares por kg</x:v>
      </x:c>
    </x:row>
    <x:row r="66">
      <x:c r="A66" s="50" t="n">
        <x:v>481</x:v>
      </x:c>
      <x:c r="B66" s="51" t="str">
        <x:v>PS.000.407</x:v>
      </x:c>
      <x:c r="C66" s="61" t="str">
        <x:v>Perfil Toldo Tubo Aco quadrado 35x35x1.25mm galvanizado 6,00m 09/23 1kg.=</x:v>
      </x:c>
      <x:c r="D66" s="61" t="str">
        <x:v>Aço/outros</x:v>
      </x:c>
      <x:c r="E66" s="62" t="str">
        <x:v>Descrição sem fator válido de metros lineares por kg</x:v>
      </x:c>
    </x:row>
    <x:row r="67">
      <x:c r="A67" s="50" t="n">
        <x:v>488</x:v>
      </x:c>
      <x:c r="B67" s="51" t="str">
        <x:v>PS.000.005</x:v>
      </x:c>
      <x:c r="C67" s="61" t="str">
        <x:v>Perfil ToldoRollPro Tubo Aco 70Mm Cru 4,00M (5m, 6m e 7m) (90704050) (B) F1286</x:v>
      </x:c>
      <x:c r="D67" s="61" t="str">
        <x:v>Aço/outros</x:v>
      </x:c>
      <x:c r="E67" s="62" t="str">
        <x:v>Descrição sem fator válido de metros lineares por kg</x:v>
      </x:c>
    </x:row>
    <x:row r="68">
      <x:c r="A68" s="50" t="n">
        <x:v>489</x:v>
      </x:c>
      <x:c r="B68" s="51" t="str">
        <x:v>PS.000.006</x:v>
      </x:c>
      <x:c r="C68" s="61" t="str">
        <x:v>Perfil ToldoRollPro Tubo Aco 70Mm Cru 5,00M (4m, 6m e 7m) (90705050)q.a.ss 4m</x:v>
      </x:c>
      <x:c r="D68" s="61" t="str">
        <x:v>Aço/outros</x:v>
      </x:c>
      <x:c r="E68" s="62" t="str">
        <x:v>Descrição sem fator válido de metros lineares por kg</x:v>
      </x:c>
    </x:row>
    <x:row r="69">
      <x:c r="A69" s="50" t="n">
        <x:v>490</x:v>
      </x:c>
      <x:c r="B69" s="51" t="str">
        <x:v>PS.000.007</x:v>
      </x:c>
      <x:c r="C69" s="61" t="str">
        <x:v>Perfil ToldoRollPro Tubo Aco 70Mm Cru 6,00M (4m, 5m e 7m) (90706050) (B) q.a.ss 4m</x:v>
      </x:c>
      <x:c r="D69" s="61" t="str">
        <x:v>Aço/outros</x:v>
      </x:c>
      <x:c r="E69" s="62" t="str">
        <x:v>Descrição sem fator válido de metros lineares por kg</x:v>
      </x:c>
    </x:row>
    <x:row r="70">
      <x:c r="A70" s="50" t="n">
        <x:v>491</x:v>
      </x:c>
      <x:c r="B70" s="51" t="str">
        <x:v>PS.000.008</x:v>
      </x:c>
      <x:c r="C70" s="61" t="str">
        <x:v>Perfil ToldoRollPro Tubo Aco 70Mm Cru 7,00M (4m, 5m e 6m) (90707050) q.a.ss 4m</x:v>
      </x:c>
      <x:c r="D70" s="61" t="str">
        <x:v>Aço/outros</x:v>
      </x:c>
      <x:c r="E70" s="62" t="str">
        <x:v>Descrição sem fator válido de metros lineares por kg</x:v>
      </x:c>
    </x:row>
    <x:row r="71">
      <x:c r="A71" s="50" t="n">
        <x:v>500</x:v>
      </x:c>
      <x:c r="B71" s="51" t="str">
        <x:v>002.069.001.000.17</x:v>
      </x:c>
      <x:c r="C71" s="61" t="str">
        <x:v>Perfil Trilho Glydea Estrudado Cor Branco (9026571 mot persi. 2/25.) (A) 1kg.= SOMFY Barra 6,30m PCT37,8M</x:v>
      </x:c>
      <x:c r="D71" s="61" t="str">
        <x:v>Branco</x:v>
      </x:c>
      <x:c r="E71" s="62" t="str">
        <x:v>Descrição sem fator válido de metros lineares por kg</x:v>
      </x:c>
    </x:row>
    <x:row r="72">
      <x:c r="A72" s="50" t="n">
        <x:v>501</x:v>
      </x:c>
      <x:c r="B72" s="51" t="str">
        <x:v>C.CORT.500.0001</x:v>
      </x:c>
      <x:c r="C72" s="61" t="str">
        <x:v>Perfil Trilho Maxi com Aba Branco Cod 10201  pct6 10/21 (cortina.)1kg.=</x:v>
      </x:c>
      <x:c r="D72" s="61" t="str">
        <x:v>Branco</x:v>
      </x:c>
      <x:c r="E72" s="62" t="str">
        <x:v>Descrição sem fator válido de metros lineares por kg</x:v>
      </x:c>
    </x:row>
    <x:row r="73">
      <x:c r="A73" s="50" t="n">
        <x:v>503</x:v>
      </x:c>
      <x:c r="B73" s="51" t="str">
        <x:v>C.CORT.500.0017</x:v>
      </x:c>
      <x:c r="C73" s="61" t="str">
        <x:v>Perfil Trilho Maxi Triplo Branco Cod 10203 10/21 1kg.=</x:v>
      </x:c>
      <x:c r="D73" s="61" t="str">
        <x:v>Branco</x:v>
      </x:c>
      <x:c r="E73" s="62" t="str">
        <x:v>Descrição sem fator válido de metros lineares por kg</x:v>
      </x:c>
    </x:row>
    <x:row r="74">
      <x:c r="A74" s="50" t="n">
        <x:v>504</x:v>
      </x:c>
      <x:c r="B74" s="51" t="str">
        <x:v>PC.000.700</x:v>
      </x:c>
      <x:c r="C74" s="61" t="str">
        <x:v>Perfil Trilho mot redondo de 3vias 580cm VC30-58-T3-W 05/22 1kg.= SUBLIME Q.A.F.L</x:v>
      </x:c>
      <x:c r="D74" s="61" t="str">
        <x:v>Alumínio cru</x:v>
      </x:c>
      <x:c r="E74" s="62" t="str">
        <x:v>Descrição sem fator válido de metros lineares por kg</x:v>
      </x:c>
    </x:row>
    <x:row r="75">
      <x:c r="A75" s="50" t="n">
        <x:v>535</x:v>
      </x:c>
      <x:c r="B75" s="51" t="str">
        <x:v>TD.000.008</x:v>
      </x:c>
      <x:c r="C75" s="61" t="str">
        <x:v>Perfil Tubo Ran Ojiva 70mm (80030024) kg  F0791 F,,</x:v>
      </x:c>
      <x:c r="D75" s="61" t="str">
        <x:v>Alumínio cru</x:v>
      </x:c>
      <x:c r="E75" s="62" t="str">
        <x:v>Descrição sem fator válido de metros lineares por kg</x:v>
      </x:c>
    </x:row>
    <x:row r="76">
      <x:c r="A76" s="50" t="n">
        <x:v>536</x:v>
      </x:c>
      <x:c r="B76" s="51" t="str">
        <x:v>C.CORT.500.0015</x:v>
      </x:c>
      <x:c r="C76" s="61" t="str">
        <x:v>Perfil Varao Trilho 23mm Branco Cod 12023 10/21 kg.</x:v>
      </x:c>
      <x:c r="D76" s="61" t="str">
        <x:v>Branco</x:v>
      </x:c>
      <x:c r="E76" s="62" t="str">
        <x:v>Descrição sem fator válido de metros lineares por kg</x:v>
      </x:c>
    </x:row>
    <x:row r="77">
      <x:c r="A77" s="50" t="n">
        <x:v>537</x:v>
      </x:c>
      <x:c r="B77" s="51" t="str">
        <x:v>C.CORT.500.0004</x:v>
      </x:c>
      <x:c r="C77" s="61" t="str">
        <x:v>Perfil Varao Trilho 30mm Branco Cod 12030 10/21 kg.</x:v>
      </x:c>
      <x:c r="D77" s="61" t="str">
        <x:v>Branco</x:v>
      </x:c>
      <x:c r="E77" s="62" t="str">
        <x:v>Descrição sem fator válido de metros lineares por kg</x:v>
      </x:c>
    </x:row>
    <x:row r="78">
      <x:c r="A78" s="50" t="n">
        <x:v>554</x:v>
      </x:c>
      <x:c r="B78" s="51" t="str">
        <x:v>PSP.000.260</x:v>
      </x:c>
      <x:c r="C78" s="61" t="str">
        <x:v>Perfil.Pergola. Para franja 6,00m preto (13257009) PCT6m 1kg.=</x:v>
      </x:c>
      <x:c r="D78" s="61" t="str">
        <x:v>Preto</x:v>
      </x:c>
      <x:c r="E78" s="62" t="str">
        <x:v>Descrição sem fator válido de metros lineares por kg</x:v>
      </x:c>
    </x:row>
    <x:row r="79">
      <x:c r="A79" s="50" t="n">
        <x:v>555</x:v>
      </x:c>
      <x:c r="B79" s="51" t="str">
        <x:v>PSP.000.259</x:v>
      </x:c>
      <x:c r="C79" s="61" t="str">
        <x:v>Perfil.Pergola. Travessa 80x40 5,00m preto (13007009) PCT1 1kg.=</x:v>
      </x:c>
      <x:c r="D79" s="61" t="str">
        <x:v>Preto</x:v>
      </x:c>
      <x:c r="E79" s="62" t="str">
        <x:v>Descrição sem fator válido de metros lineares por kg</x:v>
      </x:c>
    </x:row>
    <x:row r="80">
      <x:c r="A80" s="50" t="n">
        <x:v>591</x:v>
      </x:c>
      <x:c r="B80" s="51" t="str">
        <x:v>PSP.000.155</x:v>
      </x:c>
      <x:c r="C80" s="61" t="str">
        <x:v>Perfil.PergoVersiplan_Pro Apoio Transversal de Tec. Cru 3,00/m (4m e 5m) (85253050) 06/23 1kg.= F1286</x:v>
      </x:c>
      <x:c r="D80" s="61" t="str">
        <x:v>Alumínio cru</x:v>
      </x:c>
      <x:c r="E80" s="62" t="str">
        <x:v>Descrição sem fator válido de metros lineares por kg</x:v>
      </x:c>
    </x:row>
    <x:row r="81">
      <x:c r="A81" s="50" t="n">
        <x:v>592</x:v>
      </x:c>
      <x:c r="B81" s="51" t="str">
        <x:v>PSP.000.158</x:v>
      </x:c>
      <x:c r="C81" s="61" t="str">
        <x:v>Perfil.PergoVersiplan_Pro Apoio Transversal de Tec. Cru 5,00m (3m e 4m) (85255050) 06/23 1kg.=  F1286</x:v>
      </x:c>
      <x:c r="D81" s="61" t="str">
        <x:v>Alumínio cru</x:v>
      </x:c>
      <x:c r="E81" s="62" t="str">
        <x:v>Descrição sem fator válido de metros lineares por kg</x:v>
      </x:c>
    </x:row>
    <x:row r="82">
      <x:c r="A82" s="53" t="n">
        <x:v>593</x:v>
      </x:c>
      <x:c r="B82" s="54" t="str">
        <x:v>PSP.000.142</x:v>
      </x:c>
      <x:c r="C82" s="63" t="str">
        <x:v>Perfil.PergoVersiplan_Pro Apoio Transversal de Tec.Cru 4,00m (3m e 5m) (85254050) 06/23 1kg.=  F1286</x:v>
      </x:c>
      <x:c r="D82" s="63" t="str">
        <x:v>Alumínio cru</x:v>
      </x:c>
      <x:c r="E82" s="64" t="str">
        <x:v>Descrição sem fator válido de metros lineares por kg</x:v>
      </x:c>
    </x:row>
  </x:sheetData>
  <x:pageMargins left="0.7" right="0.7" top="0.75" bottom="0.75" header="0.3" footer="0.3"/>
  <x:tableParts count="1">
    <x:tablePart xmlns:r="http://schemas.openxmlformats.org/officeDocument/2006/relationships" r:id="Rcfa847a587bc4bc2"/>
  </x:tableParts>
</x:worksheet>
</file>